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410p Touch\Documents\4.Cursos\Sofka\Ciclo2\Calidad y Pruebas de Software\"/>
    </mc:Choice>
  </mc:AlternateContent>
  <bookViews>
    <workbookView xWindow="-120" yWindow="-120" windowWidth="20730" windowHeight="11160" tabRatio="354" firstSheet="5" activeTab="6"/>
  </bookViews>
  <sheets>
    <sheet name="ControlDeCambios" sheetId="6" r:id="rId1"/>
    <sheet name="Consolidado" sheetId="3" r:id="rId2"/>
    <sheet name="LISTAS" sheetId="5" state="hidden" r:id="rId3"/>
    <sheet name="DISEÑOS" sheetId="1" state="hidden" r:id="rId4"/>
    <sheet name="Escenarios" sheetId="7" r:id="rId5"/>
    <sheet name="xxxx" sheetId="8" r:id="rId6"/>
    <sheet name="Registro_Cliente_NOPCOMMERCE" sheetId="9" r:id="rId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3" l="1"/>
  <c r="C17" i="3"/>
  <c r="D23" i="3"/>
  <c r="T23" i="3" a="1"/>
  <c r="T23" i="3" s="1"/>
  <c r="S23" i="3"/>
  <c r="R23" i="3"/>
  <c r="Q23" i="3"/>
  <c r="N23" i="3" a="1"/>
  <c r="N23" i="3" s="1"/>
  <c r="M23" i="3"/>
  <c r="L23" i="3"/>
  <c r="K23" i="3"/>
  <c r="H23" i="3"/>
  <c r="G23" i="3"/>
  <c r="F23" i="3"/>
  <c r="E23" i="3"/>
  <c r="D22" i="3"/>
  <c r="T22" i="3" a="1"/>
  <c r="T22" i="3" s="1"/>
  <c r="S22" i="3"/>
  <c r="R22" i="3"/>
  <c r="Q22" i="3"/>
  <c r="N22" i="3" a="1"/>
  <c r="N22" i="3" s="1"/>
  <c r="M22" i="3"/>
  <c r="L22" i="3"/>
  <c r="K22" i="3"/>
  <c r="H22" i="3"/>
  <c r="G22" i="3"/>
  <c r="F22" i="3"/>
  <c r="E22" i="3"/>
  <c r="D21" i="3"/>
  <c r="T21" i="3" a="1"/>
  <c r="T21" i="3" s="1"/>
  <c r="S21" i="3"/>
  <c r="R21" i="3"/>
  <c r="Q21" i="3"/>
  <c r="N21" i="3" a="1"/>
  <c r="N21" i="3" s="1"/>
  <c r="M21" i="3"/>
  <c r="L21" i="3"/>
  <c r="K21" i="3"/>
  <c r="H21" i="3"/>
  <c r="G21" i="3"/>
  <c r="F21" i="3"/>
  <c r="E21" i="3"/>
  <c r="O23" i="3" l="1"/>
  <c r="P23" i="3" s="1"/>
  <c r="I23" i="3"/>
  <c r="J23" i="3" s="1"/>
  <c r="O22" i="3"/>
  <c r="P22" i="3" s="1"/>
  <c r="I22" i="3"/>
  <c r="J22" i="3" s="1"/>
  <c r="O21" i="3"/>
  <c r="P21" i="3" s="1"/>
  <c r="I21" i="3"/>
  <c r="J21" i="3" s="1"/>
</calcChain>
</file>

<file path=xl/comments1.xml><?xml version="1.0" encoding="utf-8"?>
<comments xmlns="http://schemas.openxmlformats.org/spreadsheetml/2006/main">
  <authors>
    <author>Jeyson Alvarez Alvarez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Indentificador de caso prueba.
En caso de Título digitar "T"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Caso de uso ó requisito asociado al caso prueba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Descripción del caso prueba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La precondición debe ir en tiempo pasado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Paso a paso del caso prueba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Resultado esperado del caso prueba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Poscondiciones, sentencias sql y/o demás items que se consideren relevantes y no se encuentran el la información presentada
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</commentList>
</comments>
</file>

<file path=xl/comments2.xml><?xml version="1.0" encoding="utf-8"?>
<comments xmlns="http://schemas.openxmlformats.org/spreadsheetml/2006/main">
  <authors>
    <author>Jeyson Alvarez Alvarez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Indentificador de caso prueba.
En caso de Título digitar "T"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Caso de uso ó requisito asociado al caso prueba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Descripción del caso prueba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La precondición debe ir en tiempo pasado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Paso a paso del caso prueba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Resultado esperado del caso prueba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Poscondiciones, sentencias sql y/o demás items que se consideren relevantes y no se encuentran el la información presentada
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</commentList>
</comments>
</file>

<file path=xl/comments3.xml><?xml version="1.0" encoding="utf-8"?>
<comments xmlns="http://schemas.openxmlformats.org/spreadsheetml/2006/main">
  <authors>
    <author>Jeyson Alvarez Alvarez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Indentificador de caso prueba.
En caso de Título digitar "T"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Caso de uso ó requisito asociado al caso prueba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Descripción del caso prueba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La precondición debe ir en tiempo pasado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Paso a paso del caso prueba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Resultado esperado del caso prueba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Poscondiciones, sentencias sql y/o demás items que se consideren relevantes y no se encuentran el la información presentada
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</commentList>
</comments>
</file>

<file path=xl/comments4.xml><?xml version="1.0" encoding="utf-8"?>
<comments xmlns="http://schemas.openxmlformats.org/spreadsheetml/2006/main">
  <authors>
    <author>Jeyson Alvarez Alvarez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Indentificador de caso prueba.
En caso de Título digitar "T"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Caso de uso ó requisito asociado al caso prueba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Descripción del caso prueba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La precondición debe ir en tiempo pasado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Paso a paso del caso prueba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Resultado esperado del caso prueba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Poscondiciones, sentencias sql y/o demás items que se consideren relevantes y no se encuentran el la información presentada
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Digitar:
P = Pasó
F = Falló
N = No Aplica</t>
        </r>
      </text>
    </comment>
  </commentList>
</comments>
</file>

<file path=xl/sharedStrings.xml><?xml version="1.0" encoding="utf-8"?>
<sst xmlns="http://schemas.openxmlformats.org/spreadsheetml/2006/main" count="213" uniqueCount="109">
  <si>
    <t>Precondición</t>
  </si>
  <si>
    <t>Resultado Esperado</t>
  </si>
  <si>
    <t>ID. CP</t>
  </si>
  <si>
    <t>CLIENTE</t>
  </si>
  <si>
    <t>ANALISTA CERTIFICACIÓN</t>
  </si>
  <si>
    <t>Resultado</t>
  </si>
  <si>
    <t>N° Incidente</t>
  </si>
  <si>
    <t>Observación</t>
  </si>
  <si>
    <t>Estado Final</t>
  </si>
  <si>
    <t>SQL</t>
  </si>
  <si>
    <t>PRODUCTO</t>
  </si>
  <si>
    <t>Descripción</t>
  </si>
  <si>
    <t>Pasos Caso Prueba</t>
  </si>
  <si>
    <t>NÚMERO REQUERIMIENTO</t>
  </si>
  <si>
    <t>DISEÑO DE CASOS PRUEBA</t>
  </si>
  <si>
    <t>Crear Hoja de Diseño de Casos prueba</t>
  </si>
  <si>
    <t>Nombre</t>
  </si>
  <si>
    <t>LIDER TÉCNICO</t>
  </si>
  <si>
    <t>Observaciones</t>
  </si>
  <si>
    <t>ANALISTA INGENIERÍA DE SOFTWARE</t>
  </si>
  <si>
    <t>Caso de Uso / Requisito</t>
  </si>
  <si>
    <t>Módulo</t>
  </si>
  <si>
    <t>FECHA</t>
  </si>
  <si>
    <t>Tipo Modulo</t>
  </si>
  <si>
    <t>Tipo Prueba</t>
  </si>
  <si>
    <t>% Esfuerzo Total</t>
  </si>
  <si>
    <t>Ronda1</t>
  </si>
  <si>
    <t>% Avance Total</t>
  </si>
  <si>
    <t>Funcionales</t>
  </si>
  <si>
    <t>Regresión</t>
  </si>
  <si>
    <t>Automatización</t>
  </si>
  <si>
    <t>Ronda2</t>
  </si>
  <si>
    <t>T</t>
  </si>
  <si>
    <t>No Funcionales</t>
  </si>
  <si>
    <t xml:space="preserve">Nombre </t>
  </si>
  <si>
    <t>Total
Errores</t>
  </si>
  <si>
    <t>Elaboró</t>
  </si>
  <si>
    <t>Revisó</t>
  </si>
  <si>
    <t>Aprobó</t>
  </si>
  <si>
    <t>Fecha</t>
  </si>
  <si>
    <t>Versión</t>
  </si>
  <si>
    <t>Creación del documento</t>
  </si>
  <si>
    <t>DISEÑO CPC</t>
  </si>
  <si>
    <t>2014/06/14</t>
  </si>
  <si>
    <t>2018/01/17</t>
  </si>
  <si>
    <t>Actualización del formato</t>
  </si>
  <si>
    <t>Asignar_citas</t>
  </si>
  <si>
    <t>N/A</t>
  </si>
  <si>
    <t xml:space="preserve">Código: 
Versión: 
Fecha: </t>
  </si>
  <si>
    <t>dd</t>
  </si>
  <si>
    <t>Escenarios</t>
  </si>
  <si>
    <t>No</t>
  </si>
  <si>
    <t>Hu_001</t>
  </si>
  <si>
    <t>sdfgh</t>
  </si>
  <si>
    <t>bgh</t>
  </si>
  <si>
    <t>bvn</t>
  </si>
  <si>
    <t>nbm</t>
  </si>
  <si>
    <t>mn</t>
  </si>
  <si>
    <t>PASÓ</t>
  </si>
  <si>
    <t>OK</t>
  </si>
  <si>
    <t>GENERAL</t>
  </si>
  <si>
    <t>% Avance</t>
  </si>
  <si>
    <t>Casos
OK</t>
  </si>
  <si>
    <t>Tipo 
Prueba</t>
  </si>
  <si>
    <t>Total 
Casos</t>
  </si>
  <si>
    <t>RONDA 1</t>
  </si>
  <si>
    <t>Casos 
Ejecutados</t>
  </si>
  <si>
    <t>Casos No 
Ejecutados</t>
  </si>
  <si>
    <t>Casos 
Pasó</t>
  </si>
  <si>
    <t>Casos 
Fallidos</t>
  </si>
  <si>
    <t>Casos No 
Aplica(N/A)</t>
  </si>
  <si>
    <t># Errores</t>
  </si>
  <si>
    <t>RONDA 2</t>
  </si>
  <si>
    <t>xxxx</t>
  </si>
  <si>
    <t>Registro_Cliente_NOPCOMMERCE</t>
  </si>
  <si>
    <t>HU002-C001</t>
  </si>
  <si>
    <t>Tener acceso al home de la aplicación dada por la URL :https://frontend.nopcommerce.com/</t>
  </si>
  <si>
    <t>Observar la presencia de una opcion enlace que dice Register</t>
  </si>
  <si>
    <t>HU002-C002</t>
  </si>
  <si>
    <t>Verificar la existencia de una opcion Register en el home de la aplicación</t>
  </si>
  <si>
    <t>1- Acceder al home de la aplicación.
2 - Dar click en la opcion Register</t>
  </si>
  <si>
    <t>Verificar que la opcion Register muestre al usuario la pagina correcta para poder ingresar sus datos</t>
  </si>
  <si>
    <t>HU002-C003</t>
  </si>
  <si>
    <t>Realizar el registro de un usuario con todos los campos vacios</t>
  </si>
  <si>
    <t>Estar ubicado en la seccion de Register de la aplicación</t>
  </si>
  <si>
    <t>HU002-C004</t>
  </si>
  <si>
    <t>1- Acceder al home de la aplicación
2 - Dar click en la opcion Register
3- Dar click en la opcion para registrar nuevo usuario</t>
  </si>
  <si>
    <t>1 - Acceder al home de la aplicación</t>
  </si>
  <si>
    <t>Debe aparecer un mensaje indicando que el usuario fue creado</t>
  </si>
  <si>
    <t>HU002-C005</t>
  </si>
  <si>
    <t>Realizar el registro de un usuario llenando todos los campos de forma correcta</t>
  </si>
  <si>
    <t>HU002-C006</t>
  </si>
  <si>
    <t>Se muestra el cambio de pagina hacia la seccion de registro con los siguientes campos:
-Genero
-Primer Nombre
-Primer Apeliido
-Fecha de nacimiento
-Email
-Cedula
-Nombre de la compañía
-Newsletter
-Password</t>
  </si>
  <si>
    <t>Tener los datos necesarios para llenar de forma adecuada los campos obligatorios:
-Primer Nombre
-Primer Apeliido
-Email
-Cedula</t>
  </si>
  <si>
    <t>Tener los datos necesarios para llenar de forma adecuada todos los campos:
-Genero
-Primer Nombre
-Primer Apeliido
-Fecha de nacimiento
-Email
-Cedula
-Nombre de la compañía
-Newsletter
-Password</t>
  </si>
  <si>
    <t>Realizar el registro de un usuario llenando solo los campos obligatorios correctamente</t>
  </si>
  <si>
    <t>1- Acceder al home de la aplicación
2- Dar click en la opcion Register
3- Llenar los campos obligatorios Primer Nombre, Primer Apeliido, Email y Cedula correctamente
4- Dar click en la opcion para registrar nuevo usuario</t>
  </si>
  <si>
    <t>HU002-C007</t>
  </si>
  <si>
    <t>Realizar el registro de un usuario llenando todos los campos y con el campo de email en un formato no valido</t>
  </si>
  <si>
    <t>Tener los datos necesarios para llenar todos los campos correctamente, excepto:
-Email (No valido)</t>
  </si>
  <si>
    <t>1- Acceder al home de la aplicación
2 - Dar click en la opcion Register
3- Llenar todos los campos: Genero
, Primer Nombre, Primer Apeliido, Fecha de nacimiento , Email , Cedula, Nombre de la compañía , Newsletter y Password correctamente
4- Dar click en la opcion para registrar nuevo usuario</t>
  </si>
  <si>
    <t>1- Acceder al home de la aplicación
2- Dar click en la opcion Register
3- Llenar todos los campos correctamente a excepción del Email
4- Llenar el campo Email de tal forma que no siga con el patron correcto permitido (no tenga @ ni punto)
5- Dar click en la opcion para registrar nuevo usuario</t>
  </si>
  <si>
    <t>Se debe enfocar la pantalla en el campo de Email y debajo de él debe aparecer un mensaje indicando que es un Email no valido</t>
  </si>
  <si>
    <t>Realizar el registro de un usuario llenando todos los campos, digitando en el campo contraseña 5 digitos</t>
  </si>
  <si>
    <t>Tener los datos necesarios para llenar todos los campos</t>
  </si>
  <si>
    <t>1- Acceder al home de la aplicación
2- Dar click en la opcion Register
3- Llenar todos los campos correctamente a excepcion de la contraseña
4- Digitar en el campo contraseña, una contraseña de 5 digitos
5- Dar click en la opcion para registrar nuevo usuario</t>
  </si>
  <si>
    <t>Debe aparecer un mensaje debajo del campo contraseña indicando que la contraseña no es valida y que debe cumplir con el requesito de minimo 6 digitos</t>
  </si>
  <si>
    <t>Se resaltaran en rojo los campos obligatorios y aparecera un mensaje debajo de cada uno advirtiendo que el campo no contiene datos validos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</si>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</sst>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;[Red]0"/>
    <numFmt numFmtId="165" formatCode="_-* #,##0.00\ _P_t_s_-;\-* #,##0.00\ _P_t_s_-;_-* &quot;-&quot;??\ _P_t_s_-;_-@_-"/>
    <numFmt numFmtId="166" formatCode="_ * #,##0.00_ ;_ * \-#,##0.00_ ;_ * &quot;-&quot;??_ ;_ @_ "/>
    <numFmt numFmtId="167" formatCode="_-* #,##0.00\ _€_-;\-* #,##0.00\ _€_-;_-* &quot;-&quot;??\ _€_-;_-@_-"/>
    <numFmt numFmtId="168" formatCode="_-* #,##0.00\ &quot;€&quot;_-;\-* #,##0.00\ &quot;€&quot;_-;_-* &quot;-&quot;??\ &quot;€&quot;_-;_-@_-"/>
    <numFmt numFmtId="169" formatCode="_ &quot;$&quot;\ * #,##0.00_ ;_ &quot;$&quot;\ * \-#,##0.00_ ;_ &quot;$&quot;\ * &quot;-&quot;??_ ;_ @_ "/>
    <numFmt numFmtId="170" formatCode="_(&quot;$&quot;\ * #,##0.00_);_(&quot;$&quot;\ * \(#,##0.00\);_(&quot;$&quot;\ * &quot;-&quot;??_);_(@_)"/>
    <numFmt numFmtId="171" formatCode="yyyy/mm/dd"/>
  </numFmts>
  <fonts count="48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12"/>
      <color theme="0"/>
      <name val="Calibri"/>
      <family val="2"/>
    </font>
    <font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sz val="18"/>
      <color theme="3"/>
      <name val="Cambria"/>
      <family val="2"/>
      <scheme val="major"/>
    </font>
    <font>
      <b/>
      <sz val="11"/>
      <color indexed="8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C619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1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8">
    <xf numFmtId="0" fontId="0" fillId="0" borderId="0"/>
    <xf numFmtId="0" fontId="26" fillId="0" borderId="0"/>
    <xf numFmtId="0" fontId="27" fillId="37" borderId="0" applyNumberFormat="0" applyBorder="0" applyAlignment="0" applyProtection="0"/>
    <xf numFmtId="0" fontId="10" fillId="14" borderId="0" applyNumberFormat="0" applyBorder="0" applyAlignment="0" applyProtection="0"/>
    <xf numFmtId="0" fontId="27" fillId="38" borderId="0" applyNumberFormat="0" applyBorder="0" applyAlignment="0" applyProtection="0"/>
    <xf numFmtId="0" fontId="10" fillId="18" borderId="0" applyNumberFormat="0" applyBorder="0" applyAlignment="0" applyProtection="0"/>
    <xf numFmtId="0" fontId="27" fillId="39" borderId="0" applyNumberFormat="0" applyBorder="0" applyAlignment="0" applyProtection="0"/>
    <xf numFmtId="0" fontId="10" fillId="22" borderId="0" applyNumberFormat="0" applyBorder="0" applyAlignment="0" applyProtection="0"/>
    <xf numFmtId="0" fontId="27" fillId="40" borderId="0" applyNumberFormat="0" applyBorder="0" applyAlignment="0" applyProtection="0"/>
    <xf numFmtId="0" fontId="10" fillId="26" borderId="0" applyNumberFormat="0" applyBorder="0" applyAlignment="0" applyProtection="0"/>
    <xf numFmtId="0" fontId="27" fillId="41" borderId="0" applyNumberFormat="0" applyBorder="0" applyAlignment="0" applyProtection="0"/>
    <xf numFmtId="0" fontId="10" fillId="30" borderId="0" applyNumberFormat="0" applyBorder="0" applyAlignment="0" applyProtection="0"/>
    <xf numFmtId="0" fontId="27" fillId="42" borderId="0" applyNumberFormat="0" applyBorder="0" applyAlignment="0" applyProtection="0"/>
    <xf numFmtId="0" fontId="10" fillId="34" borderId="0" applyNumberFormat="0" applyBorder="0" applyAlignment="0" applyProtection="0"/>
    <xf numFmtId="0" fontId="27" fillId="43" borderId="0" applyNumberFormat="0" applyBorder="0" applyAlignment="0" applyProtection="0"/>
    <xf numFmtId="0" fontId="10" fillId="15" borderId="0" applyNumberFormat="0" applyBorder="0" applyAlignment="0" applyProtection="0"/>
    <xf numFmtId="0" fontId="27" fillId="44" borderId="0" applyNumberFormat="0" applyBorder="0" applyAlignment="0" applyProtection="0"/>
    <xf numFmtId="0" fontId="10" fillId="19" borderId="0" applyNumberFormat="0" applyBorder="0" applyAlignment="0" applyProtection="0"/>
    <xf numFmtId="0" fontId="27" fillId="45" borderId="0" applyNumberFormat="0" applyBorder="0" applyAlignment="0" applyProtection="0"/>
    <xf numFmtId="0" fontId="10" fillId="23" borderId="0" applyNumberFormat="0" applyBorder="0" applyAlignment="0" applyProtection="0"/>
    <xf numFmtId="0" fontId="27" fillId="40" borderId="0" applyNumberFormat="0" applyBorder="0" applyAlignment="0" applyProtection="0"/>
    <xf numFmtId="0" fontId="10" fillId="27" borderId="0" applyNumberFormat="0" applyBorder="0" applyAlignment="0" applyProtection="0"/>
    <xf numFmtId="0" fontId="27" fillId="43" borderId="0" applyNumberFormat="0" applyBorder="0" applyAlignment="0" applyProtection="0"/>
    <xf numFmtId="0" fontId="10" fillId="31" borderId="0" applyNumberFormat="0" applyBorder="0" applyAlignment="0" applyProtection="0"/>
    <xf numFmtId="0" fontId="27" fillId="46" borderId="0" applyNumberFormat="0" applyBorder="0" applyAlignment="0" applyProtection="0"/>
    <xf numFmtId="0" fontId="10" fillId="35" borderId="0" applyNumberFormat="0" applyBorder="0" applyAlignment="0" applyProtection="0"/>
    <xf numFmtId="0" fontId="28" fillId="47" borderId="0" applyNumberFormat="0" applyBorder="0" applyAlignment="0" applyProtection="0"/>
    <xf numFmtId="0" fontId="25" fillId="16" borderId="0" applyNumberFormat="0" applyBorder="0" applyAlignment="0" applyProtection="0"/>
    <xf numFmtId="0" fontId="28" fillId="44" borderId="0" applyNumberFormat="0" applyBorder="0" applyAlignment="0" applyProtection="0"/>
    <xf numFmtId="0" fontId="25" fillId="20" borderId="0" applyNumberFormat="0" applyBorder="0" applyAlignment="0" applyProtection="0"/>
    <xf numFmtId="0" fontId="28" fillId="45" borderId="0" applyNumberFormat="0" applyBorder="0" applyAlignment="0" applyProtection="0"/>
    <xf numFmtId="0" fontId="25" fillId="24" borderId="0" applyNumberFormat="0" applyBorder="0" applyAlignment="0" applyProtection="0"/>
    <xf numFmtId="0" fontId="28" fillId="48" borderId="0" applyNumberFormat="0" applyBorder="0" applyAlignment="0" applyProtection="0"/>
    <xf numFmtId="0" fontId="25" fillId="28" borderId="0" applyNumberFormat="0" applyBorder="0" applyAlignment="0" applyProtection="0"/>
    <xf numFmtId="0" fontId="28" fillId="49" borderId="0" applyNumberFormat="0" applyBorder="0" applyAlignment="0" applyProtection="0"/>
    <xf numFmtId="0" fontId="25" fillId="32" borderId="0" applyNumberFormat="0" applyBorder="0" applyAlignment="0" applyProtection="0"/>
    <xf numFmtId="0" fontId="28" fillId="50" borderId="0" applyNumberFormat="0" applyBorder="0" applyAlignment="0" applyProtection="0"/>
    <xf numFmtId="0" fontId="25" fillId="36" borderId="0" applyNumberFormat="0" applyBorder="0" applyAlignment="0" applyProtection="0"/>
    <xf numFmtId="0" fontId="29" fillId="39" borderId="0" applyNumberFormat="0" applyBorder="0" applyAlignment="0" applyProtection="0"/>
    <xf numFmtId="0" fontId="15" fillId="6" borderId="0" applyNumberFormat="0" applyBorder="0" applyAlignment="0" applyProtection="0"/>
    <xf numFmtId="0" fontId="15" fillId="6" borderId="0" applyNumberFormat="0" applyBorder="0" applyAlignment="0" applyProtection="0"/>
    <xf numFmtId="0" fontId="30" fillId="51" borderId="24" applyNumberFormat="0" applyAlignment="0" applyProtection="0"/>
    <xf numFmtId="0" fontId="20" fillId="10" borderId="18" applyNumberFormat="0" applyAlignment="0" applyProtection="0"/>
    <xf numFmtId="0" fontId="31" fillId="52" borderId="25" applyNumberFormat="0" applyAlignment="0" applyProtection="0"/>
    <xf numFmtId="0" fontId="22" fillId="11" borderId="21" applyNumberFormat="0" applyAlignment="0" applyProtection="0"/>
    <xf numFmtId="0" fontId="32" fillId="0" borderId="26" applyNumberFormat="0" applyFill="0" applyAlignment="0" applyProtection="0"/>
    <xf numFmtId="0" fontId="21" fillId="0" borderId="20" applyNumberFormat="0" applyFill="0" applyAlignment="0" applyProtection="0"/>
    <xf numFmtId="0" fontId="12" fillId="0" borderId="15" applyNumberFormat="0" applyFill="0" applyAlignment="0" applyProtection="0"/>
    <xf numFmtId="0" fontId="3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8" fillId="53" borderId="0" applyNumberFormat="0" applyBorder="0" applyAlignment="0" applyProtection="0"/>
    <xf numFmtId="0" fontId="25" fillId="13" borderId="0" applyNumberFormat="0" applyBorder="0" applyAlignment="0" applyProtection="0"/>
    <xf numFmtId="0" fontId="28" fillId="54" borderId="0" applyNumberFormat="0" applyBorder="0" applyAlignment="0" applyProtection="0"/>
    <xf numFmtId="0" fontId="25" fillId="17" borderId="0" applyNumberFormat="0" applyBorder="0" applyAlignment="0" applyProtection="0"/>
    <xf numFmtId="0" fontId="28" fillId="55" borderId="0" applyNumberFormat="0" applyBorder="0" applyAlignment="0" applyProtection="0"/>
    <xf numFmtId="0" fontId="25" fillId="21" borderId="0" applyNumberFormat="0" applyBorder="0" applyAlignment="0" applyProtection="0"/>
    <xf numFmtId="0" fontId="28" fillId="48" borderId="0" applyNumberFormat="0" applyBorder="0" applyAlignment="0" applyProtection="0"/>
    <xf numFmtId="0" fontId="25" fillId="25" borderId="0" applyNumberFormat="0" applyBorder="0" applyAlignment="0" applyProtection="0"/>
    <xf numFmtId="0" fontId="28" fillId="49" borderId="0" applyNumberFormat="0" applyBorder="0" applyAlignment="0" applyProtection="0"/>
    <xf numFmtId="0" fontId="25" fillId="29" borderId="0" applyNumberFormat="0" applyBorder="0" applyAlignment="0" applyProtection="0"/>
    <xf numFmtId="0" fontId="28" fillId="56" borderId="0" applyNumberFormat="0" applyBorder="0" applyAlignment="0" applyProtection="0"/>
    <xf numFmtId="0" fontId="25" fillId="33" borderId="0" applyNumberFormat="0" applyBorder="0" applyAlignment="0" applyProtection="0"/>
    <xf numFmtId="0" fontId="34" fillId="42" borderId="24" applyNumberFormat="0" applyAlignment="0" applyProtection="0"/>
    <xf numFmtId="0" fontId="18" fillId="9" borderId="18" applyNumberFormat="0" applyAlignment="0" applyProtection="0"/>
    <xf numFmtId="0" fontId="35" fillId="38" borderId="0" applyNumberFormat="0" applyBorder="0" applyAlignment="0" applyProtection="0"/>
    <xf numFmtId="0" fontId="16" fillId="7" borderId="0" applyNumberFormat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7" fontId="10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8" fontId="10" fillId="0" borderId="0" applyFont="0" applyFill="0" applyBorder="0" applyAlignment="0" applyProtection="0"/>
    <xf numFmtId="169" fontId="26" fillId="0" borderId="0" applyFont="0" applyFill="0" applyBorder="0" applyAlignment="0" applyProtection="0"/>
    <xf numFmtId="169" fontId="26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69" fontId="26" fillId="0" borderId="0" applyFont="0" applyFill="0" applyBorder="0" applyAlignment="0" applyProtection="0"/>
    <xf numFmtId="169" fontId="26" fillId="0" borderId="0" applyFont="0" applyFill="0" applyBorder="0" applyAlignment="0" applyProtection="0"/>
    <xf numFmtId="0" fontId="36" fillId="57" borderId="0" applyNumberFormat="0" applyBorder="0" applyAlignment="0" applyProtection="0"/>
    <xf numFmtId="0" fontId="17" fillId="8" borderId="0" applyNumberFormat="0" applyBorder="0" applyAlignment="0" applyProtection="0"/>
    <xf numFmtId="0" fontId="26" fillId="0" borderId="0"/>
    <xf numFmtId="0" fontId="10" fillId="0" borderId="0"/>
    <xf numFmtId="0" fontId="26" fillId="0" borderId="0"/>
    <xf numFmtId="0" fontId="26" fillId="0" borderId="0"/>
    <xf numFmtId="0" fontId="26" fillId="58" borderId="27" applyNumberFormat="0" applyFont="0" applyAlignment="0" applyProtection="0"/>
    <xf numFmtId="0" fontId="26" fillId="58" borderId="27" applyNumberFormat="0" applyFont="0" applyAlignment="0" applyProtection="0"/>
    <xf numFmtId="0" fontId="10" fillId="12" borderId="22" applyNumberFormat="0" applyFont="0" applyAlignment="0" applyProtection="0"/>
    <xf numFmtId="9" fontId="10" fillId="0" borderId="0" applyFont="0" applyFill="0" applyBorder="0" applyAlignment="0" applyProtection="0"/>
    <xf numFmtId="0" fontId="37" fillId="51" borderId="28" applyNumberFormat="0" applyAlignment="0" applyProtection="0"/>
    <xf numFmtId="0" fontId="19" fillId="10" borderId="19" applyNumberFormat="0" applyAlignment="0" applyProtection="0"/>
    <xf numFmtId="0" fontId="38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40" fillId="0" borderId="29" applyNumberFormat="0" applyFill="0" applyAlignment="0" applyProtection="0"/>
    <xf numFmtId="0" fontId="12" fillId="0" borderId="15" applyNumberFormat="0" applyFill="0" applyAlignment="0" applyProtection="0"/>
    <xf numFmtId="0" fontId="41" fillId="0" borderId="30" applyNumberFormat="0" applyFill="0" applyAlignment="0" applyProtection="0"/>
    <xf numFmtId="0" fontId="13" fillId="0" borderId="16" applyNumberFormat="0" applyFill="0" applyAlignment="0" applyProtection="0"/>
    <xf numFmtId="0" fontId="33" fillId="0" borderId="31" applyNumberFormat="0" applyFill="0" applyAlignment="0" applyProtection="0"/>
    <xf numFmtId="0" fontId="14" fillId="0" borderId="17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32" applyNumberFormat="0" applyFill="0" applyAlignment="0" applyProtection="0"/>
    <xf numFmtId="0" fontId="5" fillId="0" borderId="23" applyNumberFormat="0" applyFill="0" applyAlignment="0" applyProtection="0"/>
  </cellStyleXfs>
  <cellXfs count="12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vertical="center" wrapText="1"/>
    </xf>
    <xf numFmtId="0" fontId="1" fillId="3" borderId="0" xfId="0" applyFont="1" applyFill="1" applyAlignment="1">
      <alignment horizontal="left" vertical="center" wrapText="1"/>
    </xf>
    <xf numFmtId="0" fontId="0" fillId="3" borderId="0" xfId="0" applyFont="1" applyFill="1" applyAlignment="1">
      <alignment horizontal="left" vertical="center" wrapText="1"/>
    </xf>
    <xf numFmtId="0" fontId="1" fillId="2" borderId="0" xfId="0" applyFont="1" applyFill="1" applyBorder="1" applyAlignment="1">
      <alignment horizontal="center" vertical="justify" wrapText="1"/>
    </xf>
    <xf numFmtId="0" fontId="0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0" fillId="2" borderId="0" xfId="0" applyFont="1" applyFill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justify" wrapText="1"/>
    </xf>
    <xf numFmtId="0" fontId="0" fillId="2" borderId="0" xfId="0" applyFont="1" applyFill="1" applyBorder="1" applyAlignment="1">
      <alignment horizontal="left" vertical="justify" wrapText="1"/>
    </xf>
    <xf numFmtId="0" fontId="0" fillId="0" borderId="0" xfId="0" applyBorder="1"/>
    <xf numFmtId="0" fontId="5" fillId="2" borderId="0" xfId="0" applyFont="1" applyFill="1" applyBorder="1"/>
    <xf numFmtId="0" fontId="1" fillId="2" borderId="0" xfId="0" applyFont="1" applyFill="1" applyBorder="1" applyAlignment="1">
      <alignment horizontal="center" vertical="justify" wrapText="1"/>
    </xf>
    <xf numFmtId="0" fontId="0" fillId="0" borderId="0" xfId="0" applyBorder="1" applyAlignment="1">
      <alignment horizontal="center"/>
    </xf>
    <xf numFmtId="0" fontId="1" fillId="2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1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/>
    <xf numFmtId="0" fontId="1" fillId="2" borderId="0" xfId="0" applyNumberFormat="1" applyFont="1" applyFill="1" applyAlignment="1">
      <alignment horizontal="left" vertical="center" wrapText="1"/>
    </xf>
    <xf numFmtId="0" fontId="1" fillId="2" borderId="0" xfId="0" applyNumberFormat="1" applyFont="1" applyFill="1" applyAlignment="1">
      <alignment vertical="center" wrapText="1"/>
    </xf>
    <xf numFmtId="0" fontId="1" fillId="0" borderId="0" xfId="0" applyNumberFormat="1" applyFont="1" applyFill="1" applyAlignment="1">
      <alignment vertical="center" wrapText="1"/>
    </xf>
    <xf numFmtId="0" fontId="0" fillId="0" borderId="0" xfId="0" applyNumberFormat="1"/>
    <xf numFmtId="0" fontId="0" fillId="0" borderId="0" xfId="0" applyNumberFormat="1" applyFill="1" applyBorder="1"/>
    <xf numFmtId="0" fontId="0" fillId="0" borderId="0" xfId="0" applyNumberFormat="1" applyBorder="1"/>
    <xf numFmtId="0" fontId="8" fillId="4" borderId="1" xfId="0" applyFont="1" applyFill="1" applyBorder="1" applyAlignment="1">
      <alignment horizontal="center" vertical="center" wrapText="1"/>
    </xf>
    <xf numFmtId="0" fontId="9" fillId="0" borderId="0" xfId="0" applyFont="1"/>
    <xf numFmtId="0" fontId="0" fillId="0" borderId="0" xfId="0" applyFont="1" applyFill="1" applyBorder="1" applyAlignment="1">
      <alignment horizontal="center" wrapText="1"/>
    </xf>
    <xf numFmtId="0" fontId="0" fillId="0" borderId="0" xfId="0" quotePrefix="1" applyFill="1" applyBorder="1" applyAlignment="1">
      <alignment horizontal="center"/>
    </xf>
    <xf numFmtId="0" fontId="5" fillId="2" borderId="0" xfId="0" applyFont="1" applyFill="1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wrapText="1"/>
    </xf>
    <xf numFmtId="0" fontId="26" fillId="0" borderId="0" xfId="1"/>
    <xf numFmtId="0" fontId="46" fillId="0" borderId="0" xfId="1" applyFont="1"/>
    <xf numFmtId="49" fontId="46" fillId="0" borderId="9" xfId="1" applyNumberFormat="1" applyFont="1" applyBorder="1" applyAlignment="1">
      <alignment horizontal="center" vertical="center"/>
    </xf>
    <xf numFmtId="0" fontId="46" fillId="0" borderId="9" xfId="1" applyFont="1" applyBorder="1" applyAlignment="1">
      <alignment horizontal="center" vertical="center"/>
    </xf>
    <xf numFmtId="0" fontId="45" fillId="59" borderId="6" xfId="0" applyFont="1" applyFill="1" applyBorder="1" applyAlignment="1">
      <alignment horizontal="left" wrapText="1"/>
    </xf>
    <xf numFmtId="0" fontId="45" fillId="60" borderId="1" xfId="0" applyFont="1" applyFill="1" applyBorder="1" applyAlignment="1">
      <alignment vertical="center" wrapText="1"/>
    </xf>
    <xf numFmtId="0" fontId="22" fillId="59" borderId="9" xfId="1" applyFont="1" applyFill="1" applyBorder="1" applyAlignment="1">
      <alignment horizontal="center" vertical="center"/>
    </xf>
    <xf numFmtId="0" fontId="2" fillId="61" borderId="9" xfId="0" applyFont="1" applyFill="1" applyBorder="1" applyAlignment="1">
      <alignment horizontal="center" vertical="center" wrapText="1"/>
    </xf>
    <xf numFmtId="0" fontId="2" fillId="61" borderId="9" xfId="0" applyFont="1" applyFill="1" applyBorder="1" applyAlignment="1">
      <alignment horizontal="justify" vertical="justify" wrapText="1"/>
    </xf>
    <xf numFmtId="0" fontId="5" fillId="61" borderId="9" xfId="0" applyFont="1" applyFill="1" applyBorder="1" applyAlignment="1">
      <alignment horizontal="center" vertical="center" wrapText="1"/>
    </xf>
    <xf numFmtId="0" fontId="1" fillId="61" borderId="0" xfId="0" applyFont="1" applyFill="1" applyAlignment="1">
      <alignment horizontal="left" vertical="center" wrapText="1"/>
    </xf>
    <xf numFmtId="0" fontId="1" fillId="62" borderId="9" xfId="0" applyFont="1" applyFill="1" applyBorder="1" applyAlignment="1">
      <alignment horizontal="center" vertical="center" wrapText="1"/>
    </xf>
    <xf numFmtId="0" fontId="1" fillId="62" borderId="9" xfId="0" applyFont="1" applyFill="1" applyBorder="1" applyAlignment="1">
      <alignment horizontal="justify" vertical="top" wrapText="1"/>
    </xf>
    <xf numFmtId="0" fontId="0" fillId="62" borderId="9" xfId="0" applyFont="1" applyFill="1" applyBorder="1" applyAlignment="1">
      <alignment horizontal="center" vertical="center" wrapText="1"/>
    </xf>
    <xf numFmtId="0" fontId="1" fillId="63" borderId="9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/>
    </xf>
    <xf numFmtId="0" fontId="0" fillId="0" borderId="9" xfId="0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1" fillId="62" borderId="0" xfId="0" applyFont="1" applyFill="1" applyBorder="1" applyAlignment="1">
      <alignment horizontal="center" vertical="center" wrapText="1"/>
    </xf>
    <xf numFmtId="0" fontId="1" fillId="62" borderId="0" xfId="0" applyFont="1" applyFill="1" applyBorder="1" applyAlignment="1">
      <alignment horizontal="justify" vertical="top" wrapText="1"/>
    </xf>
    <xf numFmtId="0" fontId="0" fillId="62" borderId="0" xfId="0" applyFont="1" applyFill="1" applyBorder="1" applyAlignment="1">
      <alignment horizontal="center" vertical="center" wrapText="1"/>
    </xf>
    <xf numFmtId="0" fontId="46" fillId="0" borderId="9" xfId="1" applyFont="1" applyBorder="1" applyAlignment="1">
      <alignment horizontal="left" vertical="center"/>
    </xf>
    <xf numFmtId="0" fontId="46" fillId="0" borderId="9" xfId="1" applyFont="1" applyBorder="1" applyAlignment="1">
      <alignment horizontal="center" vertical="center" wrapText="1"/>
    </xf>
    <xf numFmtId="0" fontId="46" fillId="0" borderId="9" xfId="1" applyFont="1" applyBorder="1" applyAlignment="1">
      <alignment horizontal="center" vertical="center"/>
    </xf>
    <xf numFmtId="0" fontId="22" fillId="59" borderId="9" xfId="1" applyFont="1" applyFill="1" applyBorder="1" applyAlignment="1">
      <alignment horizontal="center" vertical="center"/>
    </xf>
    <xf numFmtId="171" fontId="46" fillId="0" borderId="33" xfId="1" applyNumberFormat="1" applyFont="1" applyBorder="1" applyAlignment="1">
      <alignment horizontal="center"/>
    </xf>
    <xf numFmtId="171" fontId="46" fillId="0" borderId="34" xfId="1" applyNumberFormat="1" applyFont="1" applyBorder="1" applyAlignment="1">
      <alignment horizontal="center"/>
    </xf>
    <xf numFmtId="171" fontId="46" fillId="0" borderId="9" xfId="1" applyNumberFormat="1" applyFont="1" applyBorder="1" applyAlignment="1">
      <alignment horizontal="center"/>
    </xf>
    <xf numFmtId="0" fontId="26" fillId="0" borderId="9" xfId="1" applyBorder="1" applyAlignment="1">
      <alignment horizontal="center"/>
    </xf>
    <xf numFmtId="0" fontId="47" fillId="0" borderId="9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 wrapText="1"/>
    </xf>
    <xf numFmtId="0" fontId="5" fillId="0" borderId="9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45" fillId="59" borderId="6" xfId="0" applyFont="1" applyFill="1" applyBorder="1" applyAlignment="1">
      <alignment horizontal="left" wrapText="1"/>
    </xf>
    <xf numFmtId="0" fontId="45" fillId="59" borderId="11" xfId="0" applyFont="1" applyFill="1" applyBorder="1" applyAlignment="1">
      <alignment horizontal="left" wrapText="1"/>
    </xf>
    <xf numFmtId="0" fontId="45" fillId="59" borderId="8" xfId="0" applyFont="1" applyFill="1" applyBorder="1" applyAlignment="1">
      <alignment horizontal="left" wrapText="1"/>
    </xf>
    <xf numFmtId="0" fontId="45" fillId="64" borderId="35" xfId="0" applyFont="1" applyFill="1" applyBorder="1" applyAlignment="1">
      <alignment horizontal="center" vertical="center" wrapText="1"/>
    </xf>
    <xf numFmtId="0" fontId="45" fillId="64" borderId="36" xfId="0" applyFont="1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5" fillId="64" borderId="37" xfId="0" applyFont="1" applyFill="1" applyBorder="1" applyAlignment="1">
      <alignment horizontal="center"/>
    </xf>
    <xf numFmtId="0" fontId="5" fillId="64" borderId="38" xfId="0" applyFont="1" applyFill="1" applyBorder="1" applyAlignment="1">
      <alignment horizontal="center"/>
    </xf>
    <xf numFmtId="0" fontId="5" fillId="64" borderId="39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14" fontId="1" fillId="2" borderId="6" xfId="0" applyNumberFormat="1" applyFont="1" applyFill="1" applyBorder="1" applyAlignment="1" applyProtection="1">
      <alignment horizontal="left" vertical="center" wrapText="1"/>
      <protection locked="0"/>
    </xf>
    <xf numFmtId="14" fontId="1" fillId="2" borderId="11" xfId="0" applyNumberFormat="1" applyFont="1" applyFill="1" applyBorder="1" applyAlignment="1" applyProtection="1">
      <alignment horizontal="left" vertical="center" wrapText="1"/>
      <protection locked="0"/>
    </xf>
    <xf numFmtId="14" fontId="1" fillId="2" borderId="8" xfId="0" applyNumberFormat="1" applyFont="1" applyFill="1" applyBorder="1" applyAlignment="1" applyProtection="1">
      <alignment horizontal="left" vertical="center" wrapText="1"/>
      <protection locked="0"/>
    </xf>
    <xf numFmtId="0" fontId="1" fillId="2" borderId="6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1" fillId="2" borderId="8" xfId="0" applyFont="1" applyFill="1" applyBorder="1" applyAlignment="1" applyProtection="1">
      <alignment horizontal="left" vertical="center" wrapText="1"/>
      <protection locked="0"/>
    </xf>
    <xf numFmtId="0" fontId="1" fillId="2" borderId="6" xfId="0" applyFont="1" applyFill="1" applyBorder="1" applyAlignment="1" applyProtection="1">
      <alignment horizontal="left" vertical="justify" wrapText="1"/>
      <protection locked="0"/>
    </xf>
    <xf numFmtId="0" fontId="1" fillId="2" borderId="11" xfId="0" applyFont="1" applyFill="1" applyBorder="1" applyAlignment="1" applyProtection="1">
      <alignment horizontal="left" vertical="justify" wrapText="1"/>
      <protection locked="0"/>
    </xf>
    <xf numFmtId="0" fontId="1" fillId="2" borderId="8" xfId="0" applyFont="1" applyFill="1" applyBorder="1" applyAlignment="1" applyProtection="1">
      <alignment horizontal="left" vertical="justify" wrapText="1"/>
      <protection locked="0"/>
    </xf>
    <xf numFmtId="164" fontId="0" fillId="0" borderId="8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8" fillId="59" borderId="2" xfId="0" applyFont="1" applyFill="1" applyBorder="1" applyAlignment="1">
      <alignment horizontal="center" vertical="center" wrapText="1"/>
    </xf>
    <xf numFmtId="0" fontId="8" fillId="59" borderId="3" xfId="0" applyFont="1" applyFill="1" applyBorder="1" applyAlignment="1">
      <alignment horizontal="center" vertical="center" wrapText="1"/>
    </xf>
    <xf numFmtId="0" fontId="2" fillId="61" borderId="12" xfId="0" applyFont="1" applyFill="1" applyBorder="1" applyAlignment="1">
      <alignment horizontal="justify" vertical="justify" wrapText="1"/>
    </xf>
    <xf numFmtId="0" fontId="2" fillId="61" borderId="13" xfId="0" applyFont="1" applyFill="1" applyBorder="1" applyAlignment="1">
      <alignment horizontal="justify" vertical="justify" wrapText="1"/>
    </xf>
    <xf numFmtId="0" fontId="2" fillId="61" borderId="14" xfId="0" applyFont="1" applyFill="1" applyBorder="1" applyAlignment="1">
      <alignment horizontal="justify" vertical="justify" wrapText="1"/>
    </xf>
    <xf numFmtId="0" fontId="3" fillId="59" borderId="2" xfId="0" applyFont="1" applyFill="1" applyBorder="1" applyAlignment="1">
      <alignment horizontal="center" vertical="center" wrapText="1"/>
    </xf>
    <xf numFmtId="0" fontId="3" fillId="59" borderId="7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</cellXfs>
  <cellStyles count="118">
    <cellStyle name="20% - Énfasis1 2" xfId="2"/>
    <cellStyle name="20% - Énfasis1 3" xfId="3"/>
    <cellStyle name="20% - Énfasis2 2" xfId="4"/>
    <cellStyle name="20% - Énfasis2 3" xfId="5"/>
    <cellStyle name="20% - Énfasis3 2" xfId="6"/>
    <cellStyle name="20% - Énfasis3 3" xfId="7"/>
    <cellStyle name="20% - Énfasis4 2" xfId="8"/>
    <cellStyle name="20% - Énfasis4 3" xfId="9"/>
    <cellStyle name="20% - Énfasis5 2" xfId="10"/>
    <cellStyle name="20% - Énfasis5 3" xfId="11"/>
    <cellStyle name="20% - Énfasis6 2" xfId="12"/>
    <cellStyle name="20% - Énfasis6 3" xfId="13"/>
    <cellStyle name="40% - Énfasis1 2" xfId="14"/>
    <cellStyle name="40% - Énfasis1 3" xfId="15"/>
    <cellStyle name="40% - Énfasis2 2" xfId="16"/>
    <cellStyle name="40% - Énfasis2 3" xfId="17"/>
    <cellStyle name="40% - Énfasis3 2" xfId="18"/>
    <cellStyle name="40% - Énfasis3 3" xfId="19"/>
    <cellStyle name="40% - Énfasis4 2" xfId="20"/>
    <cellStyle name="40% - Énfasis4 3" xfId="21"/>
    <cellStyle name="40% - Énfasis5 2" xfId="22"/>
    <cellStyle name="40% - Énfasis5 3" xfId="23"/>
    <cellStyle name="40% - Énfasis6 2" xfId="24"/>
    <cellStyle name="40% - Énfasis6 3" xfId="25"/>
    <cellStyle name="60% - Énfasis1 2" xfId="26"/>
    <cellStyle name="60% - Énfasis1 3" xfId="27"/>
    <cellStyle name="60% - Énfasis2 2" xfId="28"/>
    <cellStyle name="60% - Énfasis2 3" xfId="29"/>
    <cellStyle name="60% - Énfasis3 2" xfId="30"/>
    <cellStyle name="60% - Énfasis3 3" xfId="31"/>
    <cellStyle name="60% - Énfasis4 2" xfId="32"/>
    <cellStyle name="60% - Énfasis4 3" xfId="33"/>
    <cellStyle name="60% - Énfasis5 2" xfId="34"/>
    <cellStyle name="60% - Énfasis5 3" xfId="35"/>
    <cellStyle name="60% - Énfasis6 2" xfId="36"/>
    <cellStyle name="60% - Énfasis6 3" xfId="37"/>
    <cellStyle name="Buena 2" xfId="38"/>
    <cellStyle name="Buena 3" xfId="39"/>
    <cellStyle name="Bueno 2" xfId="40"/>
    <cellStyle name="Cálculo 2" xfId="41"/>
    <cellStyle name="Cálculo 3" xfId="42"/>
    <cellStyle name="Celda de comprobación 2" xfId="43"/>
    <cellStyle name="Celda de comprobación 3" xfId="44"/>
    <cellStyle name="Celda vinculada 2" xfId="45"/>
    <cellStyle name="Celda vinculada 3" xfId="46"/>
    <cellStyle name="Encabezado 1 2" xfId="47"/>
    <cellStyle name="Encabezado 4 2" xfId="48"/>
    <cellStyle name="Encabezado 4 3" xfId="49"/>
    <cellStyle name="Énfasis1 2" xfId="50"/>
    <cellStyle name="Énfasis1 3" xfId="51"/>
    <cellStyle name="Énfasis2 2" xfId="52"/>
    <cellStyle name="Énfasis2 3" xfId="53"/>
    <cellStyle name="Énfasis3 2" xfId="54"/>
    <cellStyle name="Énfasis3 3" xfId="55"/>
    <cellStyle name="Énfasis4 2" xfId="56"/>
    <cellStyle name="Énfasis4 3" xfId="57"/>
    <cellStyle name="Énfasis5 2" xfId="58"/>
    <cellStyle name="Énfasis5 3" xfId="59"/>
    <cellStyle name="Énfasis6 2" xfId="60"/>
    <cellStyle name="Énfasis6 3" xfId="61"/>
    <cellStyle name="Entrada 2" xfId="62"/>
    <cellStyle name="Entrada 3" xfId="63"/>
    <cellStyle name="Incorrecto 2" xfId="64"/>
    <cellStyle name="Incorrecto 3" xfId="65"/>
    <cellStyle name="Millares 2" xfId="66"/>
    <cellStyle name="Millares 3" xfId="67"/>
    <cellStyle name="Millares 4" xfId="68"/>
    <cellStyle name="Millares 5" xfId="69"/>
    <cellStyle name="Millares 6" xfId="70"/>
    <cellStyle name="Millares 6 2" xfId="71"/>
    <cellStyle name="Millares 7" xfId="72"/>
    <cellStyle name="Millares 8" xfId="73"/>
    <cellStyle name="Moneda 2" xfId="74"/>
    <cellStyle name="Moneda 3" xfId="75"/>
    <cellStyle name="Moneda 4" xfId="76"/>
    <cellStyle name="Moneda 5" xfId="77"/>
    <cellStyle name="Moneda 5 2" xfId="78"/>
    <cellStyle name="Moneda 5 2 2" xfId="79"/>
    <cellStyle name="Moneda 5 2 3" xfId="80"/>
    <cellStyle name="Moneda 5 2 4" xfId="81"/>
    <cellStyle name="Moneda 5 2 5" xfId="82"/>
    <cellStyle name="Moneda 5 2 6" xfId="83"/>
    <cellStyle name="Moneda 5 3" xfId="84"/>
    <cellStyle name="Moneda 5 4" xfId="85"/>
    <cellStyle name="Moneda 5 5" xfId="86"/>
    <cellStyle name="Moneda 5 6" xfId="87"/>
    <cellStyle name="Moneda 5 7" xfId="88"/>
    <cellStyle name="Moneda 6" xfId="89"/>
    <cellStyle name="Moneda 7" xfId="90"/>
    <cellStyle name="Neutral 2" xfId="91"/>
    <cellStyle name="Neutral 3" xfId="92"/>
    <cellStyle name="Normal" xfId="0" builtinId="0"/>
    <cellStyle name="Normal 13" xfId="1"/>
    <cellStyle name="Normal 2" xfId="93"/>
    <cellStyle name="Normal 3" xfId="94"/>
    <cellStyle name="Normal 4" xfId="95"/>
    <cellStyle name="Normal 5" xfId="96"/>
    <cellStyle name="Notas 2" xfId="97"/>
    <cellStyle name="Notas 3" xfId="98"/>
    <cellStyle name="Notas 4" xfId="99"/>
    <cellStyle name="Porcentaje 2" xfId="100"/>
    <cellStyle name="Salida 2" xfId="101"/>
    <cellStyle name="Salida 3" xfId="102"/>
    <cellStyle name="Texto de advertencia 2" xfId="103"/>
    <cellStyle name="Texto de advertencia 3" xfId="104"/>
    <cellStyle name="Texto explicativo 2" xfId="105"/>
    <cellStyle name="Texto explicativo 3" xfId="106"/>
    <cellStyle name="Título 1 2" xfId="107"/>
    <cellStyle name="Título 1 3" xfId="108"/>
    <cellStyle name="Título 2 2" xfId="109"/>
    <cellStyle name="Título 2 3" xfId="110"/>
    <cellStyle name="Título 3 2" xfId="111"/>
    <cellStyle name="Título 3 3" xfId="112"/>
    <cellStyle name="Título 4" xfId="113"/>
    <cellStyle name="Título 5" xfId="114"/>
    <cellStyle name="Título 6" xfId="115"/>
    <cellStyle name="Total 2" xfId="116"/>
    <cellStyle name="Total 3" xfId="117"/>
  </cellStyles>
  <dxfs count="0"/>
  <tableStyles count="0" defaultTableStyle="TableStyleMedium9" defaultPivotStyle="PivotStyleLight16"/>
  <colors>
    <mruColors>
      <color rgb="FF03A7E0"/>
      <color rgb="FF0A3782"/>
      <color rgb="FF7C619F"/>
      <color rgb="FF1600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3</xdr:row>
      <xdr:rowOff>28575</xdr:rowOff>
    </xdr:from>
    <xdr:to>
      <xdr:col>1</xdr:col>
      <xdr:colOff>774700</xdr:colOff>
      <xdr:row>4</xdr:row>
      <xdr:rowOff>94615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0050" y="514350"/>
          <a:ext cx="708025" cy="2279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13</xdr:row>
          <xdr:rowOff>0</xdr:rowOff>
        </xdr:from>
        <xdr:to>
          <xdr:col>5</xdr:col>
          <xdr:colOff>0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742950</xdr:colOff>
      <xdr:row>4</xdr:row>
      <xdr:rowOff>5716</xdr:rowOff>
    </xdr:from>
    <xdr:to>
      <xdr:col>1</xdr:col>
      <xdr:colOff>2038350</xdr:colOff>
      <xdr:row>7</xdr:row>
      <xdr:rowOff>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" y="1272541"/>
          <a:ext cx="2057400" cy="8801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180975</xdr:rowOff>
        </xdr:from>
        <xdr:to>
          <xdr:col>17</xdr:col>
          <xdr:colOff>2162175</xdr:colOff>
          <xdr:row>1</xdr:row>
          <xdr:rowOff>9525</xdr:rowOff>
        </xdr:to>
        <xdr:sp macro="" textlink="">
          <xdr:nvSpPr>
            <xdr:cNvPr id="3081" name="btnCrearRonda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=""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180975</xdr:rowOff>
        </xdr:from>
        <xdr:to>
          <xdr:col>17</xdr:col>
          <xdr:colOff>2162175</xdr:colOff>
          <xdr:row>1</xdr:row>
          <xdr:rowOff>9525</xdr:rowOff>
        </xdr:to>
        <xdr:sp macro="" textlink="">
          <xdr:nvSpPr>
            <xdr:cNvPr id="6145" name="btnCrearRonda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180975</xdr:rowOff>
        </xdr:from>
        <xdr:to>
          <xdr:col>17</xdr:col>
          <xdr:colOff>2162175</xdr:colOff>
          <xdr:row>1</xdr:row>
          <xdr:rowOff>9525</xdr:rowOff>
        </xdr:to>
        <xdr:sp macro="" textlink="">
          <xdr:nvSpPr>
            <xdr:cNvPr id="8193" name="btnCrearRonda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180975</xdr:rowOff>
        </xdr:from>
        <xdr:to>
          <xdr:col>17</xdr:col>
          <xdr:colOff>2162175</xdr:colOff>
          <xdr:row>1</xdr:row>
          <xdr:rowOff>9525</xdr:rowOff>
        </xdr:to>
        <xdr:sp macro="" textlink="">
          <xdr:nvSpPr>
            <xdr:cNvPr id="9217" name="btnCrearRonda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VP32"/>
  <sheetViews>
    <sheetView showGridLines="0" workbookViewId="0">
      <selection activeCell="G2" sqref="G2:G7"/>
    </sheetView>
  </sheetViews>
  <sheetFormatPr baseColWidth="10" defaultColWidth="0" defaultRowHeight="12.75" customHeight="1" zeroHeight="1" x14ac:dyDescent="0.2"/>
  <cols>
    <col min="1" max="1" width="5" style="47" customWidth="1"/>
    <col min="2" max="2" width="11.85546875" style="47" bestFit="1" customWidth="1"/>
    <col min="3" max="3" width="15.42578125" style="47" customWidth="1"/>
    <col min="4" max="4" width="13.42578125" style="47" customWidth="1"/>
    <col min="5" max="5" width="13.140625" style="47" customWidth="1"/>
    <col min="6" max="6" width="12.42578125" style="47" customWidth="1"/>
    <col min="7" max="7" width="18.140625" style="47" customWidth="1"/>
    <col min="8" max="8" width="3.85546875" style="47" customWidth="1"/>
    <col min="9" max="9" width="0" style="47" hidden="1" customWidth="1"/>
    <col min="10" max="11" width="0" style="47" hidden="1"/>
    <col min="12" max="256" width="11.42578125" style="47" hidden="1"/>
    <col min="257" max="257" width="5" style="47" customWidth="1"/>
    <col min="258" max="258" width="11.85546875" style="47" hidden="1" customWidth="1"/>
    <col min="259" max="259" width="15.42578125" style="47" hidden="1" customWidth="1"/>
    <col min="260" max="260" width="13.42578125" style="47" hidden="1" customWidth="1"/>
    <col min="261" max="261" width="13.140625" style="47" hidden="1" customWidth="1"/>
    <col min="262" max="262" width="12.42578125" style="47" hidden="1" customWidth="1"/>
    <col min="263" max="263" width="18.140625" style="47" hidden="1" customWidth="1"/>
    <col min="264" max="264" width="3.85546875" style="47" hidden="1" customWidth="1"/>
    <col min="265" max="265" width="11.42578125" style="47" hidden="1" customWidth="1"/>
    <col min="266" max="512" width="11.42578125" style="47" hidden="1"/>
    <col min="513" max="513" width="5" style="47" hidden="1" customWidth="1"/>
    <col min="514" max="514" width="11.85546875" style="47" hidden="1" customWidth="1"/>
    <col min="515" max="515" width="15.42578125" style="47" hidden="1" customWidth="1"/>
    <col min="516" max="516" width="13.42578125" style="47" hidden="1" customWidth="1"/>
    <col min="517" max="517" width="13.140625" style="47" hidden="1" customWidth="1"/>
    <col min="518" max="518" width="12.42578125" style="47" hidden="1" customWidth="1"/>
    <col min="519" max="519" width="18.140625" style="47" hidden="1" customWidth="1"/>
    <col min="520" max="520" width="3.85546875" style="47" hidden="1" customWidth="1"/>
    <col min="521" max="521" width="11.42578125" style="47" hidden="1" customWidth="1"/>
    <col min="522" max="768" width="11.42578125" style="47" hidden="1"/>
    <col min="769" max="769" width="5" style="47" hidden="1" customWidth="1"/>
    <col min="770" max="770" width="11.85546875" style="47" hidden="1" customWidth="1"/>
    <col min="771" max="771" width="15.42578125" style="47" hidden="1" customWidth="1"/>
    <col min="772" max="772" width="13.42578125" style="47" hidden="1" customWidth="1"/>
    <col min="773" max="773" width="13.140625" style="47" hidden="1" customWidth="1"/>
    <col min="774" max="774" width="12.42578125" style="47" hidden="1" customWidth="1"/>
    <col min="775" max="775" width="18.140625" style="47" hidden="1" customWidth="1"/>
    <col min="776" max="776" width="3.85546875" style="47" hidden="1" customWidth="1"/>
    <col min="777" max="777" width="11.42578125" style="47" hidden="1" customWidth="1"/>
    <col min="778" max="1024" width="11.42578125" style="47" hidden="1"/>
    <col min="1025" max="1025" width="5" style="47" hidden="1" customWidth="1"/>
    <col min="1026" max="1026" width="11.85546875" style="47" hidden="1" customWidth="1"/>
    <col min="1027" max="1027" width="15.42578125" style="47" hidden="1" customWidth="1"/>
    <col min="1028" max="1028" width="13.42578125" style="47" hidden="1" customWidth="1"/>
    <col min="1029" max="1029" width="13.140625" style="47" hidden="1" customWidth="1"/>
    <col min="1030" max="1030" width="12.42578125" style="47" hidden="1" customWidth="1"/>
    <col min="1031" max="1031" width="18.140625" style="47" hidden="1" customWidth="1"/>
    <col min="1032" max="1032" width="3.85546875" style="47" hidden="1" customWidth="1"/>
    <col min="1033" max="1033" width="11.42578125" style="47" hidden="1" customWidth="1"/>
    <col min="1034" max="1280" width="11.42578125" style="47" hidden="1"/>
    <col min="1281" max="1281" width="5" style="47" hidden="1" customWidth="1"/>
    <col min="1282" max="1282" width="11.85546875" style="47" hidden="1" customWidth="1"/>
    <col min="1283" max="1283" width="15.42578125" style="47" hidden="1" customWidth="1"/>
    <col min="1284" max="1284" width="13.42578125" style="47" hidden="1" customWidth="1"/>
    <col min="1285" max="1285" width="13.140625" style="47" hidden="1" customWidth="1"/>
    <col min="1286" max="1286" width="12.42578125" style="47" hidden="1" customWidth="1"/>
    <col min="1287" max="1287" width="18.140625" style="47" hidden="1" customWidth="1"/>
    <col min="1288" max="1288" width="3.85546875" style="47" hidden="1" customWidth="1"/>
    <col min="1289" max="1289" width="11.42578125" style="47" hidden="1" customWidth="1"/>
    <col min="1290" max="1536" width="11.42578125" style="47" hidden="1"/>
    <col min="1537" max="1537" width="5" style="47" hidden="1" customWidth="1"/>
    <col min="1538" max="1538" width="11.85546875" style="47" hidden="1" customWidth="1"/>
    <col min="1539" max="1539" width="15.42578125" style="47" hidden="1" customWidth="1"/>
    <col min="1540" max="1540" width="13.42578125" style="47" hidden="1" customWidth="1"/>
    <col min="1541" max="1541" width="13.140625" style="47" hidden="1" customWidth="1"/>
    <col min="1542" max="1542" width="12.42578125" style="47" hidden="1" customWidth="1"/>
    <col min="1543" max="1543" width="18.140625" style="47" hidden="1" customWidth="1"/>
    <col min="1544" max="1544" width="3.85546875" style="47" hidden="1" customWidth="1"/>
    <col min="1545" max="1545" width="11.42578125" style="47" hidden="1" customWidth="1"/>
    <col min="1546" max="1792" width="11.42578125" style="47" hidden="1"/>
    <col min="1793" max="1793" width="5" style="47" hidden="1" customWidth="1"/>
    <col min="1794" max="1794" width="11.85546875" style="47" hidden="1" customWidth="1"/>
    <col min="1795" max="1795" width="15.42578125" style="47" hidden="1" customWidth="1"/>
    <col min="1796" max="1796" width="13.42578125" style="47" hidden="1" customWidth="1"/>
    <col min="1797" max="1797" width="13.140625" style="47" hidden="1" customWidth="1"/>
    <col min="1798" max="1798" width="12.42578125" style="47" hidden="1" customWidth="1"/>
    <col min="1799" max="1799" width="18.140625" style="47" hidden="1" customWidth="1"/>
    <col min="1800" max="1800" width="3.85546875" style="47" hidden="1" customWidth="1"/>
    <col min="1801" max="1801" width="11.42578125" style="47" hidden="1" customWidth="1"/>
    <col min="1802" max="2048" width="11.42578125" style="47" hidden="1"/>
    <col min="2049" max="2049" width="5" style="47" hidden="1" customWidth="1"/>
    <col min="2050" max="2050" width="11.85546875" style="47" hidden="1" customWidth="1"/>
    <col min="2051" max="2051" width="15.42578125" style="47" hidden="1" customWidth="1"/>
    <col min="2052" max="2052" width="13.42578125" style="47" hidden="1" customWidth="1"/>
    <col min="2053" max="2053" width="13.140625" style="47" hidden="1" customWidth="1"/>
    <col min="2054" max="2054" width="12.42578125" style="47" hidden="1" customWidth="1"/>
    <col min="2055" max="2055" width="18.140625" style="47" hidden="1" customWidth="1"/>
    <col min="2056" max="2056" width="3.85546875" style="47" hidden="1" customWidth="1"/>
    <col min="2057" max="2057" width="11.42578125" style="47" hidden="1" customWidth="1"/>
    <col min="2058" max="2304" width="11.42578125" style="47" hidden="1"/>
    <col min="2305" max="2305" width="5" style="47" hidden="1" customWidth="1"/>
    <col min="2306" max="2306" width="11.85546875" style="47" hidden="1" customWidth="1"/>
    <col min="2307" max="2307" width="15.42578125" style="47" hidden="1" customWidth="1"/>
    <col min="2308" max="2308" width="13.42578125" style="47" hidden="1" customWidth="1"/>
    <col min="2309" max="2309" width="13.140625" style="47" hidden="1" customWidth="1"/>
    <col min="2310" max="2310" width="12.42578125" style="47" hidden="1" customWidth="1"/>
    <col min="2311" max="2311" width="18.140625" style="47" hidden="1" customWidth="1"/>
    <col min="2312" max="2312" width="3.85546875" style="47" hidden="1" customWidth="1"/>
    <col min="2313" max="2313" width="11.42578125" style="47" hidden="1" customWidth="1"/>
    <col min="2314" max="2560" width="11.42578125" style="47" hidden="1"/>
    <col min="2561" max="2561" width="5" style="47" hidden="1" customWidth="1"/>
    <col min="2562" max="2562" width="11.85546875" style="47" hidden="1" customWidth="1"/>
    <col min="2563" max="2563" width="15.42578125" style="47" hidden="1" customWidth="1"/>
    <col min="2564" max="2564" width="13.42578125" style="47" hidden="1" customWidth="1"/>
    <col min="2565" max="2565" width="13.140625" style="47" hidden="1" customWidth="1"/>
    <col min="2566" max="2566" width="12.42578125" style="47" hidden="1" customWidth="1"/>
    <col min="2567" max="2567" width="18.140625" style="47" hidden="1" customWidth="1"/>
    <col min="2568" max="2568" width="3.85546875" style="47" hidden="1" customWidth="1"/>
    <col min="2569" max="2569" width="11.42578125" style="47" hidden="1" customWidth="1"/>
    <col min="2570" max="2816" width="11.42578125" style="47" hidden="1"/>
    <col min="2817" max="2817" width="5" style="47" hidden="1" customWidth="1"/>
    <col min="2818" max="2818" width="11.85546875" style="47" hidden="1" customWidth="1"/>
    <col min="2819" max="2819" width="15.42578125" style="47" hidden="1" customWidth="1"/>
    <col min="2820" max="2820" width="13.42578125" style="47" hidden="1" customWidth="1"/>
    <col min="2821" max="2821" width="13.140625" style="47" hidden="1" customWidth="1"/>
    <col min="2822" max="2822" width="12.42578125" style="47" hidden="1" customWidth="1"/>
    <col min="2823" max="2823" width="18.140625" style="47" hidden="1" customWidth="1"/>
    <col min="2824" max="2824" width="3.85546875" style="47" hidden="1" customWidth="1"/>
    <col min="2825" max="2825" width="11.42578125" style="47" hidden="1" customWidth="1"/>
    <col min="2826" max="3072" width="11.42578125" style="47" hidden="1"/>
    <col min="3073" max="3073" width="5" style="47" hidden="1" customWidth="1"/>
    <col min="3074" max="3074" width="11.85546875" style="47" hidden="1" customWidth="1"/>
    <col min="3075" max="3075" width="15.42578125" style="47" hidden="1" customWidth="1"/>
    <col min="3076" max="3076" width="13.42578125" style="47" hidden="1" customWidth="1"/>
    <col min="3077" max="3077" width="13.140625" style="47" hidden="1" customWidth="1"/>
    <col min="3078" max="3078" width="12.42578125" style="47" hidden="1" customWidth="1"/>
    <col min="3079" max="3079" width="18.140625" style="47" hidden="1" customWidth="1"/>
    <col min="3080" max="3080" width="3.85546875" style="47" hidden="1" customWidth="1"/>
    <col min="3081" max="3081" width="11.42578125" style="47" hidden="1" customWidth="1"/>
    <col min="3082" max="3328" width="11.42578125" style="47" hidden="1"/>
    <col min="3329" max="3329" width="5" style="47" hidden="1" customWidth="1"/>
    <col min="3330" max="3330" width="11.85546875" style="47" hidden="1" customWidth="1"/>
    <col min="3331" max="3331" width="15.42578125" style="47" hidden="1" customWidth="1"/>
    <col min="3332" max="3332" width="13.42578125" style="47" hidden="1" customWidth="1"/>
    <col min="3333" max="3333" width="13.140625" style="47" hidden="1" customWidth="1"/>
    <col min="3334" max="3334" width="12.42578125" style="47" hidden="1" customWidth="1"/>
    <col min="3335" max="3335" width="18.140625" style="47" hidden="1" customWidth="1"/>
    <col min="3336" max="3336" width="3.85546875" style="47" hidden="1" customWidth="1"/>
    <col min="3337" max="3337" width="11.42578125" style="47" hidden="1" customWidth="1"/>
    <col min="3338" max="3584" width="11.42578125" style="47" hidden="1"/>
    <col min="3585" max="3585" width="5" style="47" hidden="1" customWidth="1"/>
    <col min="3586" max="3586" width="11.85546875" style="47" hidden="1" customWidth="1"/>
    <col min="3587" max="3587" width="15.42578125" style="47" hidden="1" customWidth="1"/>
    <col min="3588" max="3588" width="13.42578125" style="47" hidden="1" customWidth="1"/>
    <col min="3589" max="3589" width="13.140625" style="47" hidden="1" customWidth="1"/>
    <col min="3590" max="3590" width="12.42578125" style="47" hidden="1" customWidth="1"/>
    <col min="3591" max="3591" width="18.140625" style="47" hidden="1" customWidth="1"/>
    <col min="3592" max="3592" width="3.85546875" style="47" hidden="1" customWidth="1"/>
    <col min="3593" max="3593" width="11.42578125" style="47" hidden="1" customWidth="1"/>
    <col min="3594" max="3840" width="11.42578125" style="47" hidden="1"/>
    <col min="3841" max="3841" width="5" style="47" hidden="1" customWidth="1"/>
    <col min="3842" max="3842" width="11.85546875" style="47" hidden="1" customWidth="1"/>
    <col min="3843" max="3843" width="15.42578125" style="47" hidden="1" customWidth="1"/>
    <col min="3844" max="3844" width="13.42578125" style="47" hidden="1" customWidth="1"/>
    <col min="3845" max="3845" width="13.140625" style="47" hidden="1" customWidth="1"/>
    <col min="3846" max="3846" width="12.42578125" style="47" hidden="1" customWidth="1"/>
    <col min="3847" max="3847" width="18.140625" style="47" hidden="1" customWidth="1"/>
    <col min="3848" max="3848" width="3.85546875" style="47" hidden="1" customWidth="1"/>
    <col min="3849" max="3849" width="11.42578125" style="47" hidden="1" customWidth="1"/>
    <col min="3850" max="4096" width="11.42578125" style="47" hidden="1"/>
    <col min="4097" max="4097" width="5" style="47" hidden="1" customWidth="1"/>
    <col min="4098" max="4098" width="11.85546875" style="47" hidden="1" customWidth="1"/>
    <col min="4099" max="4099" width="15.42578125" style="47" hidden="1" customWidth="1"/>
    <col min="4100" max="4100" width="13.42578125" style="47" hidden="1" customWidth="1"/>
    <col min="4101" max="4101" width="13.140625" style="47" hidden="1" customWidth="1"/>
    <col min="4102" max="4102" width="12.42578125" style="47" hidden="1" customWidth="1"/>
    <col min="4103" max="4103" width="18.140625" style="47" hidden="1" customWidth="1"/>
    <col min="4104" max="4104" width="3.85546875" style="47" hidden="1" customWidth="1"/>
    <col min="4105" max="4105" width="11.42578125" style="47" hidden="1" customWidth="1"/>
    <col min="4106" max="4352" width="11.42578125" style="47" hidden="1"/>
    <col min="4353" max="4353" width="5" style="47" hidden="1" customWidth="1"/>
    <col min="4354" max="4354" width="11.85546875" style="47" hidden="1" customWidth="1"/>
    <col min="4355" max="4355" width="15.42578125" style="47" hidden="1" customWidth="1"/>
    <col min="4356" max="4356" width="13.42578125" style="47" hidden="1" customWidth="1"/>
    <col min="4357" max="4357" width="13.140625" style="47" hidden="1" customWidth="1"/>
    <col min="4358" max="4358" width="12.42578125" style="47" hidden="1" customWidth="1"/>
    <col min="4359" max="4359" width="18.140625" style="47" hidden="1" customWidth="1"/>
    <col min="4360" max="4360" width="3.85546875" style="47" hidden="1" customWidth="1"/>
    <col min="4361" max="4361" width="11.42578125" style="47" hidden="1" customWidth="1"/>
    <col min="4362" max="4608" width="11.42578125" style="47" hidden="1"/>
    <col min="4609" max="4609" width="5" style="47" hidden="1" customWidth="1"/>
    <col min="4610" max="4610" width="11.85546875" style="47" hidden="1" customWidth="1"/>
    <col min="4611" max="4611" width="15.42578125" style="47" hidden="1" customWidth="1"/>
    <col min="4612" max="4612" width="13.42578125" style="47" hidden="1" customWidth="1"/>
    <col min="4613" max="4613" width="13.140625" style="47" hidden="1" customWidth="1"/>
    <col min="4614" max="4614" width="12.42578125" style="47" hidden="1" customWidth="1"/>
    <col min="4615" max="4615" width="18.140625" style="47" hidden="1" customWidth="1"/>
    <col min="4616" max="4616" width="3.85546875" style="47" hidden="1" customWidth="1"/>
    <col min="4617" max="4617" width="11.42578125" style="47" hidden="1" customWidth="1"/>
    <col min="4618" max="4864" width="11.42578125" style="47" hidden="1"/>
    <col min="4865" max="4865" width="5" style="47" hidden="1" customWidth="1"/>
    <col min="4866" max="4866" width="11.85546875" style="47" hidden="1" customWidth="1"/>
    <col min="4867" max="4867" width="15.42578125" style="47" hidden="1" customWidth="1"/>
    <col min="4868" max="4868" width="13.42578125" style="47" hidden="1" customWidth="1"/>
    <col min="4869" max="4869" width="13.140625" style="47" hidden="1" customWidth="1"/>
    <col min="4870" max="4870" width="12.42578125" style="47" hidden="1" customWidth="1"/>
    <col min="4871" max="4871" width="18.140625" style="47" hidden="1" customWidth="1"/>
    <col min="4872" max="4872" width="3.85546875" style="47" hidden="1" customWidth="1"/>
    <col min="4873" max="4873" width="11.42578125" style="47" hidden="1" customWidth="1"/>
    <col min="4874" max="5120" width="11.42578125" style="47" hidden="1"/>
    <col min="5121" max="5121" width="5" style="47" hidden="1" customWidth="1"/>
    <col min="5122" max="5122" width="11.85546875" style="47" hidden="1" customWidth="1"/>
    <col min="5123" max="5123" width="15.42578125" style="47" hidden="1" customWidth="1"/>
    <col min="5124" max="5124" width="13.42578125" style="47" hidden="1" customWidth="1"/>
    <col min="5125" max="5125" width="13.140625" style="47" hidden="1" customWidth="1"/>
    <col min="5126" max="5126" width="12.42578125" style="47" hidden="1" customWidth="1"/>
    <col min="5127" max="5127" width="18.140625" style="47" hidden="1" customWidth="1"/>
    <col min="5128" max="5128" width="3.85546875" style="47" hidden="1" customWidth="1"/>
    <col min="5129" max="5129" width="11.42578125" style="47" hidden="1" customWidth="1"/>
    <col min="5130" max="5376" width="11.42578125" style="47" hidden="1"/>
    <col min="5377" max="5377" width="5" style="47" hidden="1" customWidth="1"/>
    <col min="5378" max="5378" width="11.85546875" style="47" hidden="1" customWidth="1"/>
    <col min="5379" max="5379" width="15.42578125" style="47" hidden="1" customWidth="1"/>
    <col min="5380" max="5380" width="13.42578125" style="47" hidden="1" customWidth="1"/>
    <col min="5381" max="5381" width="13.140625" style="47" hidden="1" customWidth="1"/>
    <col min="5382" max="5382" width="12.42578125" style="47" hidden="1" customWidth="1"/>
    <col min="5383" max="5383" width="18.140625" style="47" hidden="1" customWidth="1"/>
    <col min="5384" max="5384" width="3.85546875" style="47" hidden="1" customWidth="1"/>
    <col min="5385" max="5385" width="11.42578125" style="47" hidden="1" customWidth="1"/>
    <col min="5386" max="5632" width="11.42578125" style="47" hidden="1"/>
    <col min="5633" max="5633" width="5" style="47" hidden="1" customWidth="1"/>
    <col min="5634" max="5634" width="11.85546875" style="47" hidden="1" customWidth="1"/>
    <col min="5635" max="5635" width="15.42578125" style="47" hidden="1" customWidth="1"/>
    <col min="5636" max="5636" width="13.42578125" style="47" hidden="1" customWidth="1"/>
    <col min="5637" max="5637" width="13.140625" style="47" hidden="1" customWidth="1"/>
    <col min="5638" max="5638" width="12.42578125" style="47" hidden="1" customWidth="1"/>
    <col min="5639" max="5639" width="18.140625" style="47" hidden="1" customWidth="1"/>
    <col min="5640" max="5640" width="3.85546875" style="47" hidden="1" customWidth="1"/>
    <col min="5641" max="5641" width="11.42578125" style="47" hidden="1" customWidth="1"/>
    <col min="5642" max="5888" width="11.42578125" style="47" hidden="1"/>
    <col min="5889" max="5889" width="5" style="47" hidden="1" customWidth="1"/>
    <col min="5890" max="5890" width="11.85546875" style="47" hidden="1" customWidth="1"/>
    <col min="5891" max="5891" width="15.42578125" style="47" hidden="1" customWidth="1"/>
    <col min="5892" max="5892" width="13.42578125" style="47" hidden="1" customWidth="1"/>
    <col min="5893" max="5893" width="13.140625" style="47" hidden="1" customWidth="1"/>
    <col min="5894" max="5894" width="12.42578125" style="47" hidden="1" customWidth="1"/>
    <col min="5895" max="5895" width="18.140625" style="47" hidden="1" customWidth="1"/>
    <col min="5896" max="5896" width="3.85546875" style="47" hidden="1" customWidth="1"/>
    <col min="5897" max="5897" width="11.42578125" style="47" hidden="1" customWidth="1"/>
    <col min="5898" max="6144" width="11.42578125" style="47" hidden="1"/>
    <col min="6145" max="6145" width="5" style="47" hidden="1" customWidth="1"/>
    <col min="6146" max="6146" width="11.85546875" style="47" hidden="1" customWidth="1"/>
    <col min="6147" max="6147" width="15.42578125" style="47" hidden="1" customWidth="1"/>
    <col min="6148" max="6148" width="13.42578125" style="47" hidden="1" customWidth="1"/>
    <col min="6149" max="6149" width="13.140625" style="47" hidden="1" customWidth="1"/>
    <col min="6150" max="6150" width="12.42578125" style="47" hidden="1" customWidth="1"/>
    <col min="6151" max="6151" width="18.140625" style="47" hidden="1" customWidth="1"/>
    <col min="6152" max="6152" width="3.85546875" style="47" hidden="1" customWidth="1"/>
    <col min="6153" max="6153" width="11.42578125" style="47" hidden="1" customWidth="1"/>
    <col min="6154" max="6400" width="11.42578125" style="47" hidden="1"/>
    <col min="6401" max="6401" width="5" style="47" hidden="1" customWidth="1"/>
    <col min="6402" max="6402" width="11.85546875" style="47" hidden="1" customWidth="1"/>
    <col min="6403" max="6403" width="15.42578125" style="47" hidden="1" customWidth="1"/>
    <col min="6404" max="6404" width="13.42578125" style="47" hidden="1" customWidth="1"/>
    <col min="6405" max="6405" width="13.140625" style="47" hidden="1" customWidth="1"/>
    <col min="6406" max="6406" width="12.42578125" style="47" hidden="1" customWidth="1"/>
    <col min="6407" max="6407" width="18.140625" style="47" hidden="1" customWidth="1"/>
    <col min="6408" max="6408" width="3.85546875" style="47" hidden="1" customWidth="1"/>
    <col min="6409" max="6409" width="11.42578125" style="47" hidden="1" customWidth="1"/>
    <col min="6410" max="6656" width="11.42578125" style="47" hidden="1"/>
    <col min="6657" max="6657" width="5" style="47" hidden="1" customWidth="1"/>
    <col min="6658" max="6658" width="11.85546875" style="47" hidden="1" customWidth="1"/>
    <col min="6659" max="6659" width="15.42578125" style="47" hidden="1" customWidth="1"/>
    <col min="6660" max="6660" width="13.42578125" style="47" hidden="1" customWidth="1"/>
    <col min="6661" max="6661" width="13.140625" style="47" hidden="1" customWidth="1"/>
    <col min="6662" max="6662" width="12.42578125" style="47" hidden="1" customWidth="1"/>
    <col min="6663" max="6663" width="18.140625" style="47" hidden="1" customWidth="1"/>
    <col min="6664" max="6664" width="3.85546875" style="47" hidden="1" customWidth="1"/>
    <col min="6665" max="6665" width="11.42578125" style="47" hidden="1" customWidth="1"/>
    <col min="6666" max="6912" width="11.42578125" style="47" hidden="1"/>
    <col min="6913" max="6913" width="5" style="47" hidden="1" customWidth="1"/>
    <col min="6914" max="6914" width="11.85546875" style="47" hidden="1" customWidth="1"/>
    <col min="6915" max="6915" width="15.42578125" style="47" hidden="1" customWidth="1"/>
    <col min="6916" max="6916" width="13.42578125" style="47" hidden="1" customWidth="1"/>
    <col min="6917" max="6917" width="13.140625" style="47" hidden="1" customWidth="1"/>
    <col min="6918" max="6918" width="12.42578125" style="47" hidden="1" customWidth="1"/>
    <col min="6919" max="6919" width="18.140625" style="47" hidden="1" customWidth="1"/>
    <col min="6920" max="6920" width="3.85546875" style="47" hidden="1" customWidth="1"/>
    <col min="6921" max="6921" width="11.42578125" style="47" hidden="1" customWidth="1"/>
    <col min="6922" max="7168" width="11.42578125" style="47" hidden="1"/>
    <col min="7169" max="7169" width="5" style="47" hidden="1" customWidth="1"/>
    <col min="7170" max="7170" width="11.85546875" style="47" hidden="1" customWidth="1"/>
    <col min="7171" max="7171" width="15.42578125" style="47" hidden="1" customWidth="1"/>
    <col min="7172" max="7172" width="13.42578125" style="47" hidden="1" customWidth="1"/>
    <col min="7173" max="7173" width="13.140625" style="47" hidden="1" customWidth="1"/>
    <col min="7174" max="7174" width="12.42578125" style="47" hidden="1" customWidth="1"/>
    <col min="7175" max="7175" width="18.140625" style="47" hidden="1" customWidth="1"/>
    <col min="7176" max="7176" width="3.85546875" style="47" hidden="1" customWidth="1"/>
    <col min="7177" max="7177" width="11.42578125" style="47" hidden="1" customWidth="1"/>
    <col min="7178" max="7424" width="11.42578125" style="47" hidden="1"/>
    <col min="7425" max="7425" width="5" style="47" hidden="1" customWidth="1"/>
    <col min="7426" max="7426" width="11.85546875" style="47" hidden="1" customWidth="1"/>
    <col min="7427" max="7427" width="15.42578125" style="47" hidden="1" customWidth="1"/>
    <col min="7428" max="7428" width="13.42578125" style="47" hidden="1" customWidth="1"/>
    <col min="7429" max="7429" width="13.140625" style="47" hidden="1" customWidth="1"/>
    <col min="7430" max="7430" width="12.42578125" style="47" hidden="1" customWidth="1"/>
    <col min="7431" max="7431" width="18.140625" style="47" hidden="1" customWidth="1"/>
    <col min="7432" max="7432" width="3.85546875" style="47" hidden="1" customWidth="1"/>
    <col min="7433" max="7433" width="11.42578125" style="47" hidden="1" customWidth="1"/>
    <col min="7434" max="7680" width="11.42578125" style="47" hidden="1"/>
    <col min="7681" max="7681" width="5" style="47" hidden="1" customWidth="1"/>
    <col min="7682" max="7682" width="11.85546875" style="47" hidden="1" customWidth="1"/>
    <col min="7683" max="7683" width="15.42578125" style="47" hidden="1" customWidth="1"/>
    <col min="7684" max="7684" width="13.42578125" style="47" hidden="1" customWidth="1"/>
    <col min="7685" max="7685" width="13.140625" style="47" hidden="1" customWidth="1"/>
    <col min="7686" max="7686" width="12.42578125" style="47" hidden="1" customWidth="1"/>
    <col min="7687" max="7687" width="18.140625" style="47" hidden="1" customWidth="1"/>
    <col min="7688" max="7688" width="3.85546875" style="47" hidden="1" customWidth="1"/>
    <col min="7689" max="7689" width="11.42578125" style="47" hidden="1" customWidth="1"/>
    <col min="7690" max="7936" width="11.42578125" style="47" hidden="1"/>
    <col min="7937" max="7937" width="5" style="47" hidden="1" customWidth="1"/>
    <col min="7938" max="7938" width="11.85546875" style="47" hidden="1" customWidth="1"/>
    <col min="7939" max="7939" width="15.42578125" style="47" hidden="1" customWidth="1"/>
    <col min="7940" max="7940" width="13.42578125" style="47" hidden="1" customWidth="1"/>
    <col min="7941" max="7941" width="13.140625" style="47" hidden="1" customWidth="1"/>
    <col min="7942" max="7942" width="12.42578125" style="47" hidden="1" customWidth="1"/>
    <col min="7943" max="7943" width="18.140625" style="47" hidden="1" customWidth="1"/>
    <col min="7944" max="7944" width="3.85546875" style="47" hidden="1" customWidth="1"/>
    <col min="7945" max="7945" width="11.42578125" style="47" hidden="1" customWidth="1"/>
    <col min="7946" max="8192" width="11.42578125" style="47" hidden="1"/>
    <col min="8193" max="8193" width="5" style="47" hidden="1" customWidth="1"/>
    <col min="8194" max="8194" width="11.85546875" style="47" hidden="1" customWidth="1"/>
    <col min="8195" max="8195" width="15.42578125" style="47" hidden="1" customWidth="1"/>
    <col min="8196" max="8196" width="13.42578125" style="47" hidden="1" customWidth="1"/>
    <col min="8197" max="8197" width="13.140625" style="47" hidden="1" customWidth="1"/>
    <col min="8198" max="8198" width="12.42578125" style="47" hidden="1" customWidth="1"/>
    <col min="8199" max="8199" width="18.140625" style="47" hidden="1" customWidth="1"/>
    <col min="8200" max="8200" width="3.85546875" style="47" hidden="1" customWidth="1"/>
    <col min="8201" max="8201" width="11.42578125" style="47" hidden="1" customWidth="1"/>
    <col min="8202" max="8448" width="11.42578125" style="47" hidden="1"/>
    <col min="8449" max="8449" width="5" style="47" hidden="1" customWidth="1"/>
    <col min="8450" max="8450" width="11.85546875" style="47" hidden="1" customWidth="1"/>
    <col min="8451" max="8451" width="15.42578125" style="47" hidden="1" customWidth="1"/>
    <col min="8452" max="8452" width="13.42578125" style="47" hidden="1" customWidth="1"/>
    <col min="8453" max="8453" width="13.140625" style="47" hidden="1" customWidth="1"/>
    <col min="8454" max="8454" width="12.42578125" style="47" hidden="1" customWidth="1"/>
    <col min="8455" max="8455" width="18.140625" style="47" hidden="1" customWidth="1"/>
    <col min="8456" max="8456" width="3.85546875" style="47" hidden="1" customWidth="1"/>
    <col min="8457" max="8457" width="11.42578125" style="47" hidden="1" customWidth="1"/>
    <col min="8458" max="8704" width="11.42578125" style="47" hidden="1"/>
    <col min="8705" max="8705" width="5" style="47" hidden="1" customWidth="1"/>
    <col min="8706" max="8706" width="11.85546875" style="47" hidden="1" customWidth="1"/>
    <col min="8707" max="8707" width="15.42578125" style="47" hidden="1" customWidth="1"/>
    <col min="8708" max="8708" width="13.42578125" style="47" hidden="1" customWidth="1"/>
    <col min="8709" max="8709" width="13.140625" style="47" hidden="1" customWidth="1"/>
    <col min="8710" max="8710" width="12.42578125" style="47" hidden="1" customWidth="1"/>
    <col min="8711" max="8711" width="18.140625" style="47" hidden="1" customWidth="1"/>
    <col min="8712" max="8712" width="3.85546875" style="47" hidden="1" customWidth="1"/>
    <col min="8713" max="8713" width="11.42578125" style="47" hidden="1" customWidth="1"/>
    <col min="8714" max="8960" width="11.42578125" style="47" hidden="1"/>
    <col min="8961" max="8961" width="5" style="47" hidden="1" customWidth="1"/>
    <col min="8962" max="8962" width="11.85546875" style="47" hidden="1" customWidth="1"/>
    <col min="8963" max="8963" width="15.42578125" style="47" hidden="1" customWidth="1"/>
    <col min="8964" max="8964" width="13.42578125" style="47" hidden="1" customWidth="1"/>
    <col min="8965" max="8965" width="13.140625" style="47" hidden="1" customWidth="1"/>
    <col min="8966" max="8966" width="12.42578125" style="47" hidden="1" customWidth="1"/>
    <col min="8967" max="8967" width="18.140625" style="47" hidden="1" customWidth="1"/>
    <col min="8968" max="8968" width="3.85546875" style="47" hidden="1" customWidth="1"/>
    <col min="8969" max="8969" width="11.42578125" style="47" hidden="1" customWidth="1"/>
    <col min="8970" max="9216" width="11.42578125" style="47" hidden="1"/>
    <col min="9217" max="9217" width="5" style="47" hidden="1" customWidth="1"/>
    <col min="9218" max="9218" width="11.85546875" style="47" hidden="1" customWidth="1"/>
    <col min="9219" max="9219" width="15.42578125" style="47" hidden="1" customWidth="1"/>
    <col min="9220" max="9220" width="13.42578125" style="47" hidden="1" customWidth="1"/>
    <col min="9221" max="9221" width="13.140625" style="47" hidden="1" customWidth="1"/>
    <col min="9222" max="9222" width="12.42578125" style="47" hidden="1" customWidth="1"/>
    <col min="9223" max="9223" width="18.140625" style="47" hidden="1" customWidth="1"/>
    <col min="9224" max="9224" width="3.85546875" style="47" hidden="1" customWidth="1"/>
    <col min="9225" max="9225" width="11.42578125" style="47" hidden="1" customWidth="1"/>
    <col min="9226" max="9472" width="11.42578125" style="47" hidden="1"/>
    <col min="9473" max="9473" width="5" style="47" hidden="1" customWidth="1"/>
    <col min="9474" max="9474" width="11.85546875" style="47" hidden="1" customWidth="1"/>
    <col min="9475" max="9475" width="15.42578125" style="47" hidden="1" customWidth="1"/>
    <col min="9476" max="9476" width="13.42578125" style="47" hidden="1" customWidth="1"/>
    <col min="9477" max="9477" width="13.140625" style="47" hidden="1" customWidth="1"/>
    <col min="9478" max="9478" width="12.42578125" style="47" hidden="1" customWidth="1"/>
    <col min="9479" max="9479" width="18.140625" style="47" hidden="1" customWidth="1"/>
    <col min="9480" max="9480" width="3.85546875" style="47" hidden="1" customWidth="1"/>
    <col min="9481" max="9481" width="11.42578125" style="47" hidden="1" customWidth="1"/>
    <col min="9482" max="9728" width="11.42578125" style="47" hidden="1"/>
    <col min="9729" max="9729" width="5" style="47" hidden="1" customWidth="1"/>
    <col min="9730" max="9730" width="11.85546875" style="47" hidden="1" customWidth="1"/>
    <col min="9731" max="9731" width="15.42578125" style="47" hidden="1" customWidth="1"/>
    <col min="9732" max="9732" width="13.42578125" style="47" hidden="1" customWidth="1"/>
    <col min="9733" max="9733" width="13.140625" style="47" hidden="1" customWidth="1"/>
    <col min="9734" max="9734" width="12.42578125" style="47" hidden="1" customWidth="1"/>
    <col min="9735" max="9735" width="18.140625" style="47" hidden="1" customWidth="1"/>
    <col min="9736" max="9736" width="3.85546875" style="47" hidden="1" customWidth="1"/>
    <col min="9737" max="9737" width="11.42578125" style="47" hidden="1" customWidth="1"/>
    <col min="9738" max="9984" width="11.42578125" style="47" hidden="1"/>
    <col min="9985" max="9985" width="5" style="47" hidden="1" customWidth="1"/>
    <col min="9986" max="9986" width="11.85546875" style="47" hidden="1" customWidth="1"/>
    <col min="9987" max="9987" width="15.42578125" style="47" hidden="1" customWidth="1"/>
    <col min="9988" max="9988" width="13.42578125" style="47" hidden="1" customWidth="1"/>
    <col min="9989" max="9989" width="13.140625" style="47" hidden="1" customWidth="1"/>
    <col min="9990" max="9990" width="12.42578125" style="47" hidden="1" customWidth="1"/>
    <col min="9991" max="9991" width="18.140625" style="47" hidden="1" customWidth="1"/>
    <col min="9992" max="9992" width="3.85546875" style="47" hidden="1" customWidth="1"/>
    <col min="9993" max="9993" width="11.42578125" style="47" hidden="1" customWidth="1"/>
    <col min="9994" max="10240" width="11.42578125" style="47" hidden="1"/>
    <col min="10241" max="10241" width="5" style="47" hidden="1" customWidth="1"/>
    <col min="10242" max="10242" width="11.85546875" style="47" hidden="1" customWidth="1"/>
    <col min="10243" max="10243" width="15.42578125" style="47" hidden="1" customWidth="1"/>
    <col min="10244" max="10244" width="13.42578125" style="47" hidden="1" customWidth="1"/>
    <col min="10245" max="10245" width="13.140625" style="47" hidden="1" customWidth="1"/>
    <col min="10246" max="10246" width="12.42578125" style="47" hidden="1" customWidth="1"/>
    <col min="10247" max="10247" width="18.140625" style="47" hidden="1" customWidth="1"/>
    <col min="10248" max="10248" width="3.85546875" style="47" hidden="1" customWidth="1"/>
    <col min="10249" max="10249" width="11.42578125" style="47" hidden="1" customWidth="1"/>
    <col min="10250" max="10496" width="11.42578125" style="47" hidden="1"/>
    <col min="10497" max="10497" width="5" style="47" hidden="1" customWidth="1"/>
    <col min="10498" max="10498" width="11.85546875" style="47" hidden="1" customWidth="1"/>
    <col min="10499" max="10499" width="15.42578125" style="47" hidden="1" customWidth="1"/>
    <col min="10500" max="10500" width="13.42578125" style="47" hidden="1" customWidth="1"/>
    <col min="10501" max="10501" width="13.140625" style="47" hidden="1" customWidth="1"/>
    <col min="10502" max="10502" width="12.42578125" style="47" hidden="1" customWidth="1"/>
    <col min="10503" max="10503" width="18.140625" style="47" hidden="1" customWidth="1"/>
    <col min="10504" max="10504" width="3.85546875" style="47" hidden="1" customWidth="1"/>
    <col min="10505" max="10505" width="11.42578125" style="47" hidden="1" customWidth="1"/>
    <col min="10506" max="10752" width="11.42578125" style="47" hidden="1"/>
    <col min="10753" max="10753" width="5" style="47" hidden="1" customWidth="1"/>
    <col min="10754" max="10754" width="11.85546875" style="47" hidden="1" customWidth="1"/>
    <col min="10755" max="10755" width="15.42578125" style="47" hidden="1" customWidth="1"/>
    <col min="10756" max="10756" width="13.42578125" style="47" hidden="1" customWidth="1"/>
    <col min="10757" max="10757" width="13.140625" style="47" hidden="1" customWidth="1"/>
    <col min="10758" max="10758" width="12.42578125" style="47" hidden="1" customWidth="1"/>
    <col min="10759" max="10759" width="18.140625" style="47" hidden="1" customWidth="1"/>
    <col min="10760" max="10760" width="3.85546875" style="47" hidden="1" customWidth="1"/>
    <col min="10761" max="10761" width="11.42578125" style="47" hidden="1" customWidth="1"/>
    <col min="10762" max="11008" width="11.42578125" style="47" hidden="1"/>
    <col min="11009" max="11009" width="5" style="47" hidden="1" customWidth="1"/>
    <col min="11010" max="11010" width="11.85546875" style="47" hidden="1" customWidth="1"/>
    <col min="11011" max="11011" width="15.42578125" style="47" hidden="1" customWidth="1"/>
    <col min="11012" max="11012" width="13.42578125" style="47" hidden="1" customWidth="1"/>
    <col min="11013" max="11013" width="13.140625" style="47" hidden="1" customWidth="1"/>
    <col min="11014" max="11014" width="12.42578125" style="47" hidden="1" customWidth="1"/>
    <col min="11015" max="11015" width="18.140625" style="47" hidden="1" customWidth="1"/>
    <col min="11016" max="11016" width="3.85546875" style="47" hidden="1" customWidth="1"/>
    <col min="11017" max="11017" width="11.42578125" style="47" hidden="1" customWidth="1"/>
    <col min="11018" max="11264" width="11.42578125" style="47" hidden="1"/>
    <col min="11265" max="11265" width="5" style="47" hidden="1" customWidth="1"/>
    <col min="11266" max="11266" width="11.85546875" style="47" hidden="1" customWidth="1"/>
    <col min="11267" max="11267" width="15.42578125" style="47" hidden="1" customWidth="1"/>
    <col min="11268" max="11268" width="13.42578125" style="47" hidden="1" customWidth="1"/>
    <col min="11269" max="11269" width="13.140625" style="47" hidden="1" customWidth="1"/>
    <col min="11270" max="11270" width="12.42578125" style="47" hidden="1" customWidth="1"/>
    <col min="11271" max="11271" width="18.140625" style="47" hidden="1" customWidth="1"/>
    <col min="11272" max="11272" width="3.85546875" style="47" hidden="1" customWidth="1"/>
    <col min="11273" max="11273" width="11.42578125" style="47" hidden="1" customWidth="1"/>
    <col min="11274" max="11520" width="11.42578125" style="47" hidden="1"/>
    <col min="11521" max="11521" width="5" style="47" hidden="1" customWidth="1"/>
    <col min="11522" max="11522" width="11.85546875" style="47" hidden="1" customWidth="1"/>
    <col min="11523" max="11523" width="15.42578125" style="47" hidden="1" customWidth="1"/>
    <col min="11524" max="11524" width="13.42578125" style="47" hidden="1" customWidth="1"/>
    <col min="11525" max="11525" width="13.140625" style="47" hidden="1" customWidth="1"/>
    <col min="11526" max="11526" width="12.42578125" style="47" hidden="1" customWidth="1"/>
    <col min="11527" max="11527" width="18.140625" style="47" hidden="1" customWidth="1"/>
    <col min="11528" max="11528" width="3.85546875" style="47" hidden="1" customWidth="1"/>
    <col min="11529" max="11529" width="11.42578125" style="47" hidden="1" customWidth="1"/>
    <col min="11530" max="11776" width="11.42578125" style="47" hidden="1"/>
    <col min="11777" max="11777" width="5" style="47" hidden="1" customWidth="1"/>
    <col min="11778" max="11778" width="11.85546875" style="47" hidden="1" customWidth="1"/>
    <col min="11779" max="11779" width="15.42578125" style="47" hidden="1" customWidth="1"/>
    <col min="11780" max="11780" width="13.42578125" style="47" hidden="1" customWidth="1"/>
    <col min="11781" max="11781" width="13.140625" style="47" hidden="1" customWidth="1"/>
    <col min="11782" max="11782" width="12.42578125" style="47" hidden="1" customWidth="1"/>
    <col min="11783" max="11783" width="18.140625" style="47" hidden="1" customWidth="1"/>
    <col min="11784" max="11784" width="3.85546875" style="47" hidden="1" customWidth="1"/>
    <col min="11785" max="11785" width="11.42578125" style="47" hidden="1" customWidth="1"/>
    <col min="11786" max="12032" width="11.42578125" style="47" hidden="1"/>
    <col min="12033" max="12033" width="5" style="47" hidden="1" customWidth="1"/>
    <col min="12034" max="12034" width="11.85546875" style="47" hidden="1" customWidth="1"/>
    <col min="12035" max="12035" width="15.42578125" style="47" hidden="1" customWidth="1"/>
    <col min="12036" max="12036" width="13.42578125" style="47" hidden="1" customWidth="1"/>
    <col min="12037" max="12037" width="13.140625" style="47" hidden="1" customWidth="1"/>
    <col min="12038" max="12038" width="12.42578125" style="47" hidden="1" customWidth="1"/>
    <col min="12039" max="12039" width="18.140625" style="47" hidden="1" customWidth="1"/>
    <col min="12040" max="12040" width="3.85546875" style="47" hidden="1" customWidth="1"/>
    <col min="12041" max="12041" width="11.42578125" style="47" hidden="1" customWidth="1"/>
    <col min="12042" max="12288" width="11.42578125" style="47" hidden="1"/>
    <col min="12289" max="12289" width="5" style="47" hidden="1" customWidth="1"/>
    <col min="12290" max="12290" width="11.85546875" style="47" hidden="1" customWidth="1"/>
    <col min="12291" max="12291" width="15.42578125" style="47" hidden="1" customWidth="1"/>
    <col min="12292" max="12292" width="13.42578125" style="47" hidden="1" customWidth="1"/>
    <col min="12293" max="12293" width="13.140625" style="47" hidden="1" customWidth="1"/>
    <col min="12294" max="12294" width="12.42578125" style="47" hidden="1" customWidth="1"/>
    <col min="12295" max="12295" width="18.140625" style="47" hidden="1" customWidth="1"/>
    <col min="12296" max="12296" width="3.85546875" style="47" hidden="1" customWidth="1"/>
    <col min="12297" max="12297" width="11.42578125" style="47" hidden="1" customWidth="1"/>
    <col min="12298" max="12544" width="11.42578125" style="47" hidden="1"/>
    <col min="12545" max="12545" width="5" style="47" hidden="1" customWidth="1"/>
    <col min="12546" max="12546" width="11.85546875" style="47" hidden="1" customWidth="1"/>
    <col min="12547" max="12547" width="15.42578125" style="47" hidden="1" customWidth="1"/>
    <col min="12548" max="12548" width="13.42578125" style="47" hidden="1" customWidth="1"/>
    <col min="12549" max="12549" width="13.140625" style="47" hidden="1" customWidth="1"/>
    <col min="12550" max="12550" width="12.42578125" style="47" hidden="1" customWidth="1"/>
    <col min="12551" max="12551" width="18.140625" style="47" hidden="1" customWidth="1"/>
    <col min="12552" max="12552" width="3.85546875" style="47" hidden="1" customWidth="1"/>
    <col min="12553" max="12553" width="11.42578125" style="47" hidden="1" customWidth="1"/>
    <col min="12554" max="12800" width="11.42578125" style="47" hidden="1"/>
    <col min="12801" max="12801" width="5" style="47" hidden="1" customWidth="1"/>
    <col min="12802" max="12802" width="11.85546875" style="47" hidden="1" customWidth="1"/>
    <col min="12803" max="12803" width="15.42578125" style="47" hidden="1" customWidth="1"/>
    <col min="12804" max="12804" width="13.42578125" style="47" hidden="1" customWidth="1"/>
    <col min="12805" max="12805" width="13.140625" style="47" hidden="1" customWidth="1"/>
    <col min="12806" max="12806" width="12.42578125" style="47" hidden="1" customWidth="1"/>
    <col min="12807" max="12807" width="18.140625" style="47" hidden="1" customWidth="1"/>
    <col min="12808" max="12808" width="3.85546875" style="47" hidden="1" customWidth="1"/>
    <col min="12809" max="12809" width="11.42578125" style="47" hidden="1" customWidth="1"/>
    <col min="12810" max="13056" width="11.42578125" style="47" hidden="1"/>
    <col min="13057" max="13057" width="5" style="47" hidden="1" customWidth="1"/>
    <col min="13058" max="13058" width="11.85546875" style="47" hidden="1" customWidth="1"/>
    <col min="13059" max="13059" width="15.42578125" style="47" hidden="1" customWidth="1"/>
    <col min="13060" max="13060" width="13.42578125" style="47" hidden="1" customWidth="1"/>
    <col min="13061" max="13061" width="13.140625" style="47" hidden="1" customWidth="1"/>
    <col min="13062" max="13062" width="12.42578125" style="47" hidden="1" customWidth="1"/>
    <col min="13063" max="13063" width="18.140625" style="47" hidden="1" customWidth="1"/>
    <col min="13064" max="13064" width="3.85546875" style="47" hidden="1" customWidth="1"/>
    <col min="13065" max="13065" width="11.42578125" style="47" hidden="1" customWidth="1"/>
    <col min="13066" max="13312" width="11.42578125" style="47" hidden="1"/>
    <col min="13313" max="13313" width="5" style="47" hidden="1" customWidth="1"/>
    <col min="13314" max="13314" width="11.85546875" style="47" hidden="1" customWidth="1"/>
    <col min="13315" max="13315" width="15.42578125" style="47" hidden="1" customWidth="1"/>
    <col min="13316" max="13316" width="13.42578125" style="47" hidden="1" customWidth="1"/>
    <col min="13317" max="13317" width="13.140625" style="47" hidden="1" customWidth="1"/>
    <col min="13318" max="13318" width="12.42578125" style="47" hidden="1" customWidth="1"/>
    <col min="13319" max="13319" width="18.140625" style="47" hidden="1" customWidth="1"/>
    <col min="13320" max="13320" width="3.85546875" style="47" hidden="1" customWidth="1"/>
    <col min="13321" max="13321" width="11.42578125" style="47" hidden="1" customWidth="1"/>
    <col min="13322" max="13568" width="11.42578125" style="47" hidden="1"/>
    <col min="13569" max="13569" width="5" style="47" hidden="1" customWidth="1"/>
    <col min="13570" max="13570" width="11.85546875" style="47" hidden="1" customWidth="1"/>
    <col min="13571" max="13571" width="15.42578125" style="47" hidden="1" customWidth="1"/>
    <col min="13572" max="13572" width="13.42578125" style="47" hidden="1" customWidth="1"/>
    <col min="13573" max="13573" width="13.140625" style="47" hidden="1" customWidth="1"/>
    <col min="13574" max="13574" width="12.42578125" style="47" hidden="1" customWidth="1"/>
    <col min="13575" max="13575" width="18.140625" style="47" hidden="1" customWidth="1"/>
    <col min="13576" max="13576" width="3.85546875" style="47" hidden="1" customWidth="1"/>
    <col min="13577" max="13577" width="11.42578125" style="47" hidden="1" customWidth="1"/>
    <col min="13578" max="13824" width="11.42578125" style="47" hidden="1"/>
    <col min="13825" max="13825" width="5" style="47" hidden="1" customWidth="1"/>
    <col min="13826" max="13826" width="11.85546875" style="47" hidden="1" customWidth="1"/>
    <col min="13827" max="13827" width="15.42578125" style="47" hidden="1" customWidth="1"/>
    <col min="13828" max="13828" width="13.42578125" style="47" hidden="1" customWidth="1"/>
    <col min="13829" max="13829" width="13.140625" style="47" hidden="1" customWidth="1"/>
    <col min="13830" max="13830" width="12.42578125" style="47" hidden="1" customWidth="1"/>
    <col min="13831" max="13831" width="18.140625" style="47" hidden="1" customWidth="1"/>
    <col min="13832" max="13832" width="3.85546875" style="47" hidden="1" customWidth="1"/>
    <col min="13833" max="13833" width="11.42578125" style="47" hidden="1" customWidth="1"/>
    <col min="13834" max="14080" width="11.42578125" style="47" hidden="1"/>
    <col min="14081" max="14081" width="5" style="47" hidden="1" customWidth="1"/>
    <col min="14082" max="14082" width="11.85546875" style="47" hidden="1" customWidth="1"/>
    <col min="14083" max="14083" width="15.42578125" style="47" hidden="1" customWidth="1"/>
    <col min="14084" max="14084" width="13.42578125" style="47" hidden="1" customWidth="1"/>
    <col min="14085" max="14085" width="13.140625" style="47" hidden="1" customWidth="1"/>
    <col min="14086" max="14086" width="12.42578125" style="47" hidden="1" customWidth="1"/>
    <col min="14087" max="14087" width="18.140625" style="47" hidden="1" customWidth="1"/>
    <col min="14088" max="14088" width="3.85546875" style="47" hidden="1" customWidth="1"/>
    <col min="14089" max="14089" width="11.42578125" style="47" hidden="1" customWidth="1"/>
    <col min="14090" max="14336" width="11.42578125" style="47" hidden="1"/>
    <col min="14337" max="14337" width="5" style="47" hidden="1" customWidth="1"/>
    <col min="14338" max="14338" width="11.85546875" style="47" hidden="1" customWidth="1"/>
    <col min="14339" max="14339" width="15.42578125" style="47" hidden="1" customWidth="1"/>
    <col min="14340" max="14340" width="13.42578125" style="47" hidden="1" customWidth="1"/>
    <col min="14341" max="14341" width="13.140625" style="47" hidden="1" customWidth="1"/>
    <col min="14342" max="14342" width="12.42578125" style="47" hidden="1" customWidth="1"/>
    <col min="14343" max="14343" width="18.140625" style="47" hidden="1" customWidth="1"/>
    <col min="14344" max="14344" width="3.85546875" style="47" hidden="1" customWidth="1"/>
    <col min="14345" max="14345" width="11.42578125" style="47" hidden="1" customWidth="1"/>
    <col min="14346" max="14592" width="11.42578125" style="47" hidden="1"/>
    <col min="14593" max="14593" width="5" style="47" hidden="1" customWidth="1"/>
    <col min="14594" max="14594" width="11.85546875" style="47" hidden="1" customWidth="1"/>
    <col min="14595" max="14595" width="15.42578125" style="47" hidden="1" customWidth="1"/>
    <col min="14596" max="14596" width="13.42578125" style="47" hidden="1" customWidth="1"/>
    <col min="14597" max="14597" width="13.140625" style="47" hidden="1" customWidth="1"/>
    <col min="14598" max="14598" width="12.42578125" style="47" hidden="1" customWidth="1"/>
    <col min="14599" max="14599" width="18.140625" style="47" hidden="1" customWidth="1"/>
    <col min="14600" max="14600" width="3.85546875" style="47" hidden="1" customWidth="1"/>
    <col min="14601" max="14601" width="11.42578125" style="47" hidden="1" customWidth="1"/>
    <col min="14602" max="14848" width="11.42578125" style="47" hidden="1"/>
    <col min="14849" max="14849" width="5" style="47" hidden="1" customWidth="1"/>
    <col min="14850" max="14850" width="11.85546875" style="47" hidden="1" customWidth="1"/>
    <col min="14851" max="14851" width="15.42578125" style="47" hidden="1" customWidth="1"/>
    <col min="14852" max="14852" width="13.42578125" style="47" hidden="1" customWidth="1"/>
    <col min="14853" max="14853" width="13.140625" style="47" hidden="1" customWidth="1"/>
    <col min="14854" max="14854" width="12.42578125" style="47" hidden="1" customWidth="1"/>
    <col min="14855" max="14855" width="18.140625" style="47" hidden="1" customWidth="1"/>
    <col min="14856" max="14856" width="3.85546875" style="47" hidden="1" customWidth="1"/>
    <col min="14857" max="14857" width="11.42578125" style="47" hidden="1" customWidth="1"/>
    <col min="14858" max="15104" width="11.42578125" style="47" hidden="1"/>
    <col min="15105" max="15105" width="5" style="47" hidden="1" customWidth="1"/>
    <col min="15106" max="15106" width="11.85546875" style="47" hidden="1" customWidth="1"/>
    <col min="15107" max="15107" width="15.42578125" style="47" hidden="1" customWidth="1"/>
    <col min="15108" max="15108" width="13.42578125" style="47" hidden="1" customWidth="1"/>
    <col min="15109" max="15109" width="13.140625" style="47" hidden="1" customWidth="1"/>
    <col min="15110" max="15110" width="12.42578125" style="47" hidden="1" customWidth="1"/>
    <col min="15111" max="15111" width="18.140625" style="47" hidden="1" customWidth="1"/>
    <col min="15112" max="15112" width="3.85546875" style="47" hidden="1" customWidth="1"/>
    <col min="15113" max="15113" width="11.42578125" style="47" hidden="1" customWidth="1"/>
    <col min="15114" max="15360" width="11.42578125" style="47" hidden="1"/>
    <col min="15361" max="15361" width="5" style="47" hidden="1" customWidth="1"/>
    <col min="15362" max="15362" width="11.85546875" style="47" hidden="1" customWidth="1"/>
    <col min="15363" max="15363" width="15.42578125" style="47" hidden="1" customWidth="1"/>
    <col min="15364" max="15364" width="13.42578125" style="47" hidden="1" customWidth="1"/>
    <col min="15365" max="15365" width="13.140625" style="47" hidden="1" customWidth="1"/>
    <col min="15366" max="15366" width="12.42578125" style="47" hidden="1" customWidth="1"/>
    <col min="15367" max="15367" width="18.140625" style="47" hidden="1" customWidth="1"/>
    <col min="15368" max="15368" width="3.85546875" style="47" hidden="1" customWidth="1"/>
    <col min="15369" max="15369" width="11.42578125" style="47" hidden="1" customWidth="1"/>
    <col min="15370" max="15616" width="11.42578125" style="47" hidden="1"/>
    <col min="15617" max="15617" width="5" style="47" hidden="1" customWidth="1"/>
    <col min="15618" max="15618" width="11.85546875" style="47" hidden="1" customWidth="1"/>
    <col min="15619" max="15619" width="15.42578125" style="47" hidden="1" customWidth="1"/>
    <col min="15620" max="15620" width="13.42578125" style="47" hidden="1" customWidth="1"/>
    <col min="15621" max="15621" width="13.140625" style="47" hidden="1" customWidth="1"/>
    <col min="15622" max="15622" width="12.42578125" style="47" hidden="1" customWidth="1"/>
    <col min="15623" max="15623" width="18.140625" style="47" hidden="1" customWidth="1"/>
    <col min="15624" max="15624" width="3.85546875" style="47" hidden="1" customWidth="1"/>
    <col min="15625" max="15625" width="11.42578125" style="47" hidden="1" customWidth="1"/>
    <col min="15626" max="15872" width="11.42578125" style="47" hidden="1"/>
    <col min="15873" max="15873" width="5" style="47" hidden="1" customWidth="1"/>
    <col min="15874" max="15874" width="11.85546875" style="47" hidden="1" customWidth="1"/>
    <col min="15875" max="15875" width="15.42578125" style="47" hidden="1" customWidth="1"/>
    <col min="15876" max="15876" width="13.42578125" style="47" hidden="1" customWidth="1"/>
    <col min="15877" max="15877" width="13.140625" style="47" hidden="1" customWidth="1"/>
    <col min="15878" max="15878" width="12.42578125" style="47" hidden="1" customWidth="1"/>
    <col min="15879" max="15879" width="18.140625" style="47" hidden="1" customWidth="1"/>
    <col min="15880" max="15880" width="3.85546875" style="47" hidden="1" customWidth="1"/>
    <col min="15881" max="15881" width="11.42578125" style="47" hidden="1" customWidth="1"/>
    <col min="15882" max="16128" width="11.42578125" style="47" hidden="1"/>
    <col min="16129" max="16129" width="5" style="47" hidden="1" customWidth="1"/>
    <col min="16130" max="16130" width="11.85546875" style="47" hidden="1" customWidth="1"/>
    <col min="16131" max="16131" width="15.42578125" style="47" hidden="1" customWidth="1"/>
    <col min="16132" max="16132" width="13.42578125" style="47" hidden="1" customWidth="1"/>
    <col min="16133" max="16133" width="13.140625" style="47" hidden="1" customWidth="1"/>
    <col min="16134" max="16134" width="12.42578125" style="47" hidden="1" customWidth="1"/>
    <col min="16135" max="16135" width="18.140625" style="47" hidden="1" customWidth="1"/>
    <col min="16136" max="16136" width="3.85546875" style="47" hidden="1" customWidth="1"/>
    <col min="16137" max="16137" width="11.42578125" style="47" hidden="1" customWidth="1"/>
    <col min="16138" max="16384" width="11.42578125" style="47" hidden="1"/>
  </cols>
  <sheetData>
    <row r="1" spans="2:7" x14ac:dyDescent="0.2"/>
    <row r="2" spans="2:7" ht="13.35" customHeight="1" x14ac:dyDescent="0.2">
      <c r="B2" s="75"/>
      <c r="C2" s="76" t="s">
        <v>42</v>
      </c>
      <c r="D2" s="76"/>
      <c r="E2" s="76"/>
      <c r="F2" s="76"/>
      <c r="G2" s="77" t="s">
        <v>48</v>
      </c>
    </row>
    <row r="3" spans="2:7" ht="13.35" customHeight="1" x14ac:dyDescent="0.2">
      <c r="B3" s="75"/>
      <c r="C3" s="76"/>
      <c r="D3" s="76"/>
      <c r="E3" s="76"/>
      <c r="F3" s="76"/>
      <c r="G3" s="78"/>
    </row>
    <row r="4" spans="2:7" ht="13.35" customHeight="1" x14ac:dyDescent="0.2">
      <c r="B4" s="75"/>
      <c r="C4" s="76"/>
      <c r="D4" s="76"/>
      <c r="E4" s="76"/>
      <c r="F4" s="76"/>
      <c r="G4" s="78"/>
    </row>
    <row r="5" spans="2:7" ht="13.35" customHeight="1" x14ac:dyDescent="0.2">
      <c r="B5" s="75"/>
      <c r="C5" s="76"/>
      <c r="D5" s="76"/>
      <c r="E5" s="76"/>
      <c r="F5" s="76"/>
      <c r="G5" s="78"/>
    </row>
    <row r="6" spans="2:7" ht="13.35" customHeight="1" x14ac:dyDescent="0.2">
      <c r="B6" s="75"/>
      <c r="C6" s="76"/>
      <c r="D6" s="76"/>
      <c r="E6" s="76"/>
      <c r="F6" s="76"/>
      <c r="G6" s="78"/>
    </row>
    <row r="7" spans="2:7" ht="13.35" customHeight="1" x14ac:dyDescent="0.2">
      <c r="B7" s="75"/>
      <c r="C7" s="76"/>
      <c r="D7" s="76"/>
      <c r="E7" s="76"/>
      <c r="F7" s="76"/>
      <c r="G7" s="78"/>
    </row>
    <row r="8" spans="2:7" x14ac:dyDescent="0.2"/>
    <row r="9" spans="2:7" ht="15" x14ac:dyDescent="0.2">
      <c r="B9" s="71" t="s">
        <v>36</v>
      </c>
      <c r="C9" s="71"/>
      <c r="D9" s="71" t="s">
        <v>37</v>
      </c>
      <c r="E9" s="71"/>
      <c r="F9" s="71" t="s">
        <v>38</v>
      </c>
      <c r="G9" s="71"/>
    </row>
    <row r="10" spans="2:7" ht="37.35" customHeight="1" x14ac:dyDescent="0.2">
      <c r="B10" s="69" t="s">
        <v>47</v>
      </c>
      <c r="C10" s="70"/>
      <c r="D10" s="69" t="s">
        <v>47</v>
      </c>
      <c r="E10" s="70"/>
      <c r="F10" s="69" t="s">
        <v>47</v>
      </c>
      <c r="G10" s="70"/>
    </row>
    <row r="11" spans="2:7" ht="15" x14ac:dyDescent="0.2">
      <c r="B11" s="71" t="s">
        <v>39</v>
      </c>
      <c r="C11" s="71"/>
      <c r="D11" s="71" t="s">
        <v>39</v>
      </c>
      <c r="E11" s="71"/>
      <c r="F11" s="71" t="s">
        <v>39</v>
      </c>
      <c r="G11" s="71"/>
    </row>
    <row r="12" spans="2:7" ht="15" x14ac:dyDescent="0.25">
      <c r="B12" s="72">
        <v>43117</v>
      </c>
      <c r="C12" s="73"/>
      <c r="D12" s="74">
        <v>43117</v>
      </c>
      <c r="E12" s="74"/>
      <c r="F12" s="74">
        <v>43117</v>
      </c>
      <c r="G12" s="74"/>
    </row>
    <row r="13" spans="2:7" ht="15" x14ac:dyDescent="0.25">
      <c r="B13" s="48"/>
      <c r="C13" s="48"/>
      <c r="D13" s="48"/>
      <c r="E13" s="48"/>
      <c r="F13" s="48"/>
      <c r="G13" s="48"/>
    </row>
    <row r="14" spans="2:7" ht="15" x14ac:dyDescent="0.2">
      <c r="B14" s="53" t="s">
        <v>39</v>
      </c>
      <c r="C14" s="53" t="s">
        <v>40</v>
      </c>
      <c r="D14" s="71" t="s">
        <v>11</v>
      </c>
      <c r="E14" s="71"/>
      <c r="F14" s="71"/>
      <c r="G14" s="71"/>
    </row>
    <row r="15" spans="2:7" ht="12.75" customHeight="1" x14ac:dyDescent="0.2">
      <c r="B15" s="49" t="s">
        <v>43</v>
      </c>
      <c r="C15" s="50">
        <v>1</v>
      </c>
      <c r="D15" s="68" t="s">
        <v>41</v>
      </c>
      <c r="E15" s="68"/>
      <c r="F15" s="68"/>
      <c r="G15" s="68"/>
    </row>
    <row r="16" spans="2:7" ht="12.75" customHeight="1" x14ac:dyDescent="0.2">
      <c r="B16" s="49" t="s">
        <v>44</v>
      </c>
      <c r="C16" s="50">
        <v>2</v>
      </c>
      <c r="D16" s="68" t="s">
        <v>45</v>
      </c>
      <c r="E16" s="68"/>
      <c r="F16" s="68"/>
      <c r="G16" s="68"/>
    </row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hidden="1" customHeight="1" x14ac:dyDescent="0.2"/>
    <row r="22" ht="12.75" hidden="1" customHeight="1" x14ac:dyDescent="0.2"/>
    <row r="23" ht="12.75" hidden="1" customHeight="1" x14ac:dyDescent="0.2"/>
    <row r="24" ht="12.75" hidden="1" customHeight="1" x14ac:dyDescent="0.2"/>
    <row r="25" ht="12.75" hidden="1" customHeight="1" x14ac:dyDescent="0.2"/>
    <row r="26" ht="12.75" hidden="1" customHeight="1" x14ac:dyDescent="0.2"/>
    <row r="27" ht="12.75" hidden="1" customHeight="1" x14ac:dyDescent="0.2"/>
    <row r="28" ht="12.75" hidden="1" customHeight="1" x14ac:dyDescent="0.2"/>
    <row r="29" ht="12.75" hidden="1" customHeight="1" x14ac:dyDescent="0.2"/>
    <row r="30" ht="12.75" hidden="1" customHeight="1" x14ac:dyDescent="0.2"/>
    <row r="31" ht="12.75" hidden="1" customHeight="1" x14ac:dyDescent="0.2"/>
    <row r="32" ht="12.75" hidden="1" customHeight="1" x14ac:dyDescent="0.2"/>
  </sheetData>
  <mergeCells count="18">
    <mergeCell ref="B2:B7"/>
    <mergeCell ref="C2:F7"/>
    <mergeCell ref="G2:G7"/>
    <mergeCell ref="B9:C9"/>
    <mergeCell ref="D9:E9"/>
    <mergeCell ref="F9:G9"/>
    <mergeCell ref="D16:G16"/>
    <mergeCell ref="B10:C10"/>
    <mergeCell ref="D10:E10"/>
    <mergeCell ref="F10:G10"/>
    <mergeCell ref="B11:C11"/>
    <mergeCell ref="D11:E11"/>
    <mergeCell ref="F11:G11"/>
    <mergeCell ref="B12:C12"/>
    <mergeCell ref="D12:E12"/>
    <mergeCell ref="F12:G12"/>
    <mergeCell ref="D14:G14"/>
    <mergeCell ref="D15:G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B37"/>
  <sheetViews>
    <sheetView showGridLines="0" topLeftCell="A9" workbookViewId="0">
      <selection activeCell="G21" sqref="G21"/>
    </sheetView>
  </sheetViews>
  <sheetFormatPr baseColWidth="10" defaultRowHeight="15" x14ac:dyDescent="0.25"/>
  <cols>
    <col min="2" max="2" width="31.5703125" bestFit="1" customWidth="1"/>
    <col min="3" max="3" width="9.42578125" bestFit="1" customWidth="1"/>
    <col min="4" max="4" width="6" bestFit="1" customWidth="1"/>
    <col min="5" max="5" width="14.5703125" bestFit="1" customWidth="1"/>
    <col min="6" max="6" width="9.85546875" bestFit="1" customWidth="1"/>
    <col min="7" max="7" width="14.85546875" bestFit="1" customWidth="1"/>
    <col min="8" max="8" width="6" bestFit="1" customWidth="1"/>
    <col min="9" max="10" width="10.5703125" bestFit="1" customWidth="1"/>
    <col min="11" max="11" width="6" style="33" bestFit="1" customWidth="1"/>
    <col min="12" max="12" width="7.85546875" bestFit="1" customWidth="1"/>
    <col min="13" max="13" width="11.42578125" bestFit="1" customWidth="1"/>
    <col min="14" max="14" width="8.7109375" bestFit="1" customWidth="1"/>
    <col min="15" max="16" width="10.5703125" bestFit="1" customWidth="1"/>
    <col min="17" max="17" width="6" bestFit="1" customWidth="1"/>
    <col min="18" max="18" width="7.85546875" bestFit="1" customWidth="1"/>
    <col min="19" max="19" width="11.42578125" bestFit="1" customWidth="1"/>
    <col min="20" max="20" width="8.7109375" bestFit="1" customWidth="1"/>
    <col min="21" max="22" width="10.5703125" bestFit="1" customWidth="1"/>
    <col min="23" max="23" width="6" bestFit="1" customWidth="1"/>
    <col min="24" max="24" width="7.85546875" bestFit="1" customWidth="1"/>
    <col min="25" max="25" width="11.42578125" bestFit="1" customWidth="1"/>
    <col min="26" max="26" width="8.5703125" bestFit="1" customWidth="1"/>
    <col min="27" max="28" width="10.5703125" bestFit="1" customWidth="1"/>
    <col min="29" max="29" width="6" bestFit="1" customWidth="1"/>
    <col min="30" max="30" width="7.85546875" bestFit="1" customWidth="1"/>
    <col min="31" max="31" width="11.42578125" bestFit="1" customWidth="1"/>
    <col min="32" max="32" width="8.5703125" bestFit="1" customWidth="1"/>
    <col min="33" max="34" width="10.5703125" bestFit="1" customWidth="1"/>
    <col min="35" max="35" width="6" bestFit="1" customWidth="1"/>
    <col min="36" max="36" width="7.85546875" bestFit="1" customWidth="1"/>
    <col min="37" max="37" width="11.42578125" bestFit="1" customWidth="1"/>
    <col min="38" max="38" width="8.5703125" bestFit="1" customWidth="1"/>
    <col min="39" max="40" width="10.5703125" bestFit="1" customWidth="1"/>
    <col min="41" max="41" width="6" bestFit="1" customWidth="1"/>
    <col min="42" max="42" width="7.85546875" bestFit="1" customWidth="1"/>
    <col min="43" max="43" width="11.42578125" bestFit="1" customWidth="1"/>
    <col min="44" max="44" width="8.5703125" bestFit="1" customWidth="1"/>
    <col min="45" max="65" width="25" customWidth="1"/>
  </cols>
  <sheetData>
    <row r="1" spans="1:13" s="2" customFormat="1" ht="45" customHeight="1" x14ac:dyDescent="0.25">
      <c r="A1" s="3"/>
      <c r="B1" s="3"/>
      <c r="D1" s="96" t="s">
        <v>14</v>
      </c>
      <c r="E1" s="96"/>
      <c r="F1" s="96"/>
      <c r="G1" s="96"/>
      <c r="H1" s="96"/>
      <c r="I1" s="96"/>
      <c r="J1" s="96"/>
      <c r="K1" s="30"/>
      <c r="L1" s="1"/>
      <c r="M1" s="10"/>
    </row>
    <row r="2" spans="1:13" s="11" customFormat="1" ht="15.75" thickBot="1" x14ac:dyDescent="0.3">
      <c r="A2" s="3"/>
      <c r="B2" s="3"/>
      <c r="J2" s="1"/>
      <c r="K2" s="31"/>
      <c r="L2" s="1"/>
      <c r="M2" s="12"/>
    </row>
    <row r="3" spans="1:13" s="11" customFormat="1" ht="19.5" customHeight="1" thickBot="1" x14ac:dyDescent="0.3">
      <c r="A3" s="3"/>
      <c r="B3" s="3"/>
      <c r="D3" s="80" t="s">
        <v>3</v>
      </c>
      <c r="E3" s="81"/>
      <c r="F3" s="82"/>
      <c r="G3" s="103"/>
      <c r="H3" s="104"/>
      <c r="I3" s="104"/>
      <c r="J3" s="105"/>
      <c r="K3" s="31"/>
      <c r="L3" s="1"/>
      <c r="M3" s="12"/>
    </row>
    <row r="4" spans="1:13" s="11" customFormat="1" ht="19.5" customHeight="1" thickBot="1" x14ac:dyDescent="0.3">
      <c r="A4" s="3"/>
      <c r="B4" s="3"/>
      <c r="D4" s="80" t="s">
        <v>10</v>
      </c>
      <c r="E4" s="81"/>
      <c r="F4" s="82"/>
      <c r="G4" s="100"/>
      <c r="H4" s="101"/>
      <c r="I4" s="101"/>
      <c r="J4" s="102"/>
      <c r="K4" s="31"/>
      <c r="L4" s="1"/>
      <c r="M4" s="12"/>
    </row>
    <row r="5" spans="1:13" s="11" customFormat="1" ht="19.5" customHeight="1" thickBot="1" x14ac:dyDescent="0.3">
      <c r="A5" s="3"/>
      <c r="B5" s="3"/>
      <c r="D5" s="80" t="s">
        <v>13</v>
      </c>
      <c r="E5" s="81"/>
      <c r="F5" s="82"/>
      <c r="G5" s="100"/>
      <c r="H5" s="101"/>
      <c r="I5" s="101"/>
      <c r="J5" s="102"/>
      <c r="K5" s="31"/>
      <c r="L5" s="1"/>
      <c r="M5" s="12"/>
    </row>
    <row r="6" spans="1:13" s="11" customFormat="1" ht="19.5" customHeight="1" thickBot="1" x14ac:dyDescent="0.3">
      <c r="A6" s="3"/>
      <c r="B6" s="3"/>
      <c r="D6" s="80" t="s">
        <v>17</v>
      </c>
      <c r="E6" s="81"/>
      <c r="F6" s="82"/>
      <c r="G6" s="100"/>
      <c r="H6" s="101"/>
      <c r="I6" s="101"/>
      <c r="J6" s="102"/>
      <c r="K6" s="31"/>
      <c r="L6" s="1"/>
      <c r="M6" s="12"/>
    </row>
    <row r="7" spans="1:13" s="6" customFormat="1" ht="30.75" customHeight="1" thickBot="1" x14ac:dyDescent="0.3">
      <c r="A7" s="4"/>
      <c r="B7" s="4"/>
      <c r="D7" s="80" t="s">
        <v>19</v>
      </c>
      <c r="E7" s="81"/>
      <c r="F7" s="82"/>
      <c r="G7" s="100"/>
      <c r="H7" s="101"/>
      <c r="I7" s="101"/>
      <c r="J7" s="102"/>
      <c r="K7" s="32"/>
      <c r="L7" s="5"/>
      <c r="M7" s="13"/>
    </row>
    <row r="8" spans="1:13" s="6" customFormat="1" ht="19.5" customHeight="1" thickBot="1" x14ac:dyDescent="0.3">
      <c r="A8" s="4"/>
      <c r="B8" s="4"/>
      <c r="D8" s="80" t="s">
        <v>4</v>
      </c>
      <c r="E8" s="81"/>
      <c r="F8" s="82"/>
      <c r="G8" s="100"/>
      <c r="H8" s="101"/>
      <c r="I8" s="101"/>
      <c r="J8" s="102"/>
      <c r="K8" s="32"/>
      <c r="L8" s="5"/>
      <c r="M8" s="13"/>
    </row>
    <row r="9" spans="1:13" s="6" customFormat="1" ht="20.25" customHeight="1" thickBot="1" x14ac:dyDescent="0.3">
      <c r="A9" s="14"/>
      <c r="B9" s="14"/>
      <c r="C9" s="15"/>
      <c r="D9" s="80" t="s">
        <v>22</v>
      </c>
      <c r="E9" s="81"/>
      <c r="F9" s="82"/>
      <c r="G9" s="97"/>
      <c r="H9" s="98"/>
      <c r="I9" s="98"/>
      <c r="J9" s="99"/>
      <c r="K9" s="32"/>
      <c r="L9" s="5"/>
      <c r="M9" s="13"/>
    </row>
    <row r="10" spans="1:13" s="6" customFormat="1" x14ac:dyDescent="0.25">
      <c r="A10" s="14"/>
      <c r="B10" s="14"/>
      <c r="C10" s="15"/>
      <c r="G10" s="5"/>
      <c r="J10" s="5"/>
      <c r="K10" s="32"/>
      <c r="L10" s="5"/>
      <c r="M10" s="13"/>
    </row>
    <row r="12" spans="1:13" ht="15.75" thickBot="1" x14ac:dyDescent="0.3"/>
    <row r="13" spans="1:13" ht="30.75" thickBot="1" x14ac:dyDescent="0.3">
      <c r="B13" s="51" t="s">
        <v>15</v>
      </c>
    </row>
    <row r="14" spans="1:13" ht="15.75" thickBot="1" x14ac:dyDescent="0.3">
      <c r="B14" s="51" t="s">
        <v>16</v>
      </c>
      <c r="C14" s="87"/>
      <c r="D14" s="88"/>
      <c r="E14" s="24"/>
    </row>
    <row r="15" spans="1:13" ht="15.75" customHeight="1" thickBot="1" x14ac:dyDescent="0.3">
      <c r="B15" s="51" t="s">
        <v>24</v>
      </c>
      <c r="C15" s="89"/>
      <c r="D15" s="90"/>
      <c r="E15" s="24"/>
    </row>
    <row r="16" spans="1:13" ht="15.75" customHeight="1" thickBot="1" x14ac:dyDescent="0.3">
      <c r="C16" s="18"/>
      <c r="D16" s="18"/>
      <c r="E16" s="18"/>
    </row>
    <row r="17" spans="1:80" ht="30.75" thickBot="1" x14ac:dyDescent="0.3">
      <c r="B17" s="51" t="s">
        <v>25</v>
      </c>
      <c r="C17" s="85">
        <f>IFERROR((1/8)* 100, 0)</f>
        <v>12.5</v>
      </c>
      <c r="D17" s="86"/>
      <c r="E17" s="21"/>
      <c r="F17" s="52" t="s">
        <v>35</v>
      </c>
      <c r="G17" s="85">
        <v>0</v>
      </c>
      <c r="H17" s="86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M17" s="18"/>
      <c r="AN17" s="18"/>
      <c r="AO17" s="18"/>
      <c r="AP17" s="18"/>
      <c r="AQ17" s="18"/>
      <c r="AR17" s="18"/>
      <c r="AS17" s="18"/>
    </row>
    <row r="18" spans="1:80" ht="15.75" thickBot="1" x14ac:dyDescent="0.3">
      <c r="B18" s="51" t="s">
        <v>27</v>
      </c>
      <c r="C18" s="85">
        <f>(1 / 8) * 100</f>
        <v>12.5</v>
      </c>
      <c r="D18" s="106"/>
      <c r="E18" s="19"/>
      <c r="F18" s="19"/>
      <c r="G18" s="19"/>
      <c r="H18" s="19"/>
      <c r="I18" s="18"/>
      <c r="J18" s="18"/>
      <c r="K18" s="34"/>
      <c r="L18" s="25"/>
      <c r="M18" s="25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25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25"/>
      <c r="AJ18" s="25"/>
      <c r="AK18" s="25"/>
      <c r="AL18" s="25"/>
      <c r="AM18" s="18"/>
      <c r="AN18" s="18"/>
      <c r="AO18" s="18"/>
      <c r="AP18" s="18"/>
      <c r="AQ18" s="18"/>
      <c r="AR18" s="18"/>
      <c r="AS18" s="18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</row>
    <row r="19" spans="1:80" ht="15" customHeight="1" x14ac:dyDescent="0.25">
      <c r="B19" s="83" t="s">
        <v>21</v>
      </c>
      <c r="C19" s="91" t="s">
        <v>60</v>
      </c>
      <c r="D19" s="92"/>
      <c r="E19" s="92"/>
      <c r="F19" s="92"/>
      <c r="G19" s="92"/>
      <c r="H19" s="93"/>
      <c r="I19" s="91" t="s">
        <v>65</v>
      </c>
      <c r="J19" s="92"/>
      <c r="K19" s="92"/>
      <c r="L19" s="92"/>
      <c r="M19" s="92"/>
      <c r="N19" s="93"/>
      <c r="O19" s="91" t="s">
        <v>72</v>
      </c>
      <c r="P19" s="92"/>
      <c r="Q19" s="92"/>
      <c r="R19" s="92"/>
      <c r="S19" s="92"/>
      <c r="T19" s="93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5"/>
      <c r="AH19" s="45"/>
      <c r="AI19" s="45"/>
      <c r="AJ19" s="45"/>
      <c r="AK19" s="44"/>
      <c r="AL19" s="44"/>
      <c r="AM19" s="79"/>
      <c r="AN19" s="79"/>
      <c r="AO19" s="79"/>
      <c r="AP19" s="79"/>
      <c r="AQ19" s="79"/>
      <c r="AR19" s="79"/>
      <c r="AS19" s="19"/>
      <c r="AT19" s="40"/>
      <c r="AU19" s="40"/>
      <c r="AV19" s="29"/>
      <c r="AW19" s="29"/>
      <c r="AX19" s="29"/>
      <c r="AY19" s="28"/>
      <c r="AZ19" s="28"/>
      <c r="BA19" s="27"/>
      <c r="BB19" s="27"/>
      <c r="BC19" s="27"/>
      <c r="BD19" s="27"/>
      <c r="BE19" s="27"/>
      <c r="BF19" s="94"/>
      <c r="BG19" s="95"/>
      <c r="BH19" s="95"/>
      <c r="BI19" s="95"/>
      <c r="BJ19" s="95"/>
      <c r="BK19" s="95"/>
      <c r="BL19" s="95"/>
      <c r="BM19" s="95"/>
      <c r="BN19" s="19"/>
      <c r="BO19" s="19"/>
      <c r="BP19" s="19"/>
      <c r="BQ19" s="19"/>
      <c r="BR19" s="19"/>
      <c r="BS19" s="19"/>
      <c r="BT19" s="19"/>
      <c r="BU19" s="19"/>
      <c r="BV19" s="19"/>
    </row>
    <row r="20" spans="1:80" ht="30.75" customHeight="1" x14ac:dyDescent="0.25">
      <c r="A20" s="18"/>
      <c r="B20" s="84"/>
      <c r="C20" s="62" t="s">
        <v>61</v>
      </c>
      <c r="D20" s="63" t="s">
        <v>62</v>
      </c>
      <c r="E20" s="63" t="s">
        <v>63</v>
      </c>
      <c r="F20" s="62" t="s">
        <v>29</v>
      </c>
      <c r="G20" s="62" t="s">
        <v>30</v>
      </c>
      <c r="H20" s="63" t="s">
        <v>64</v>
      </c>
      <c r="I20" s="63" t="s">
        <v>66</v>
      </c>
      <c r="J20" s="63" t="s">
        <v>67</v>
      </c>
      <c r="K20" s="63" t="s">
        <v>68</v>
      </c>
      <c r="L20" s="63" t="s">
        <v>69</v>
      </c>
      <c r="M20" s="63" t="s">
        <v>70</v>
      </c>
      <c r="N20" s="62" t="s">
        <v>71</v>
      </c>
      <c r="O20" s="63" t="s">
        <v>66</v>
      </c>
      <c r="P20" s="63" t="s">
        <v>67</v>
      </c>
      <c r="Q20" s="63" t="s">
        <v>68</v>
      </c>
      <c r="R20" s="63" t="s">
        <v>69</v>
      </c>
      <c r="S20" s="63" t="s">
        <v>70</v>
      </c>
      <c r="T20" s="62" t="s">
        <v>71</v>
      </c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43"/>
      <c r="AH20" s="43"/>
      <c r="AI20" s="43"/>
      <c r="AJ20" s="43"/>
      <c r="AK20" s="43"/>
      <c r="AL20" s="21"/>
      <c r="AM20" s="43"/>
      <c r="AN20" s="43"/>
      <c r="AO20" s="43"/>
      <c r="AP20" s="43"/>
      <c r="AQ20" s="43"/>
      <c r="AR20" s="21"/>
      <c r="AS20" s="18"/>
      <c r="AT20" s="42"/>
      <c r="AU20" s="42"/>
      <c r="AV20" s="28"/>
      <c r="AW20" s="28"/>
      <c r="AX20" s="28"/>
      <c r="AY20" s="28"/>
      <c r="AZ20" s="28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18"/>
      <c r="BO20" s="18"/>
      <c r="BP20" s="18"/>
      <c r="BQ20" s="18"/>
      <c r="BR20" s="18"/>
      <c r="BS20" s="18"/>
      <c r="BT20" s="18"/>
      <c r="BU20" s="18"/>
      <c r="BV20" s="18"/>
    </row>
    <row r="21" spans="1:80" x14ac:dyDescent="0.25">
      <c r="A21" s="18"/>
      <c r="B21" s="62" t="s">
        <v>50</v>
      </c>
      <c r="C21" s="62">
        <v>100</v>
      </c>
      <c r="D21" s="62">
        <f>IFERROR(COUNTIF(Escenarios!Q:Q,"OK"), "")</f>
        <v>1</v>
      </c>
      <c r="E21" s="62" t="str">
        <f>VLOOKUP(Consolidado!B21,LISTAS!C:D,2,FALSE)</f>
        <v>No Funcionales</v>
      </c>
      <c r="F21" s="62">
        <f>IFERROR(COUNTIF(Escenarios!I:I,"SI"), "")</f>
        <v>0</v>
      </c>
      <c r="G21" s="62">
        <f>IFERROR(COUNTIF(Escenarios!J:J,"SI"), "")</f>
        <v>0</v>
      </c>
      <c r="H21" s="62">
        <f>COUNTIF(Escenarios!A:A, "&gt;0")</f>
        <v>1</v>
      </c>
      <c r="I21" s="62">
        <f>IFERROR(IF(SUM($K$21, $L$21)="","", SUM($K$21, $L$21)),"")</f>
        <v>1</v>
      </c>
      <c r="J21" s="62">
        <f>IFERROR(IF(SUM($H$21, (($I$21) * -1 ), (($M$21) * -1 ))="","", SUM($H$21, (($I$21) * -1 ), (($M$21 )* -1 ))),"")</f>
        <v>0</v>
      </c>
      <c r="K21" s="62">
        <f>IFERROR(COUNTIF(Escenarios!K:K,"PASÓ"), "")</f>
        <v>1</v>
      </c>
      <c r="L21" s="62">
        <f>IFERROR(COUNTIF(Escenarios!K:K,"FALLÓ"), "")</f>
        <v>0</v>
      </c>
      <c r="M21" s="62">
        <f>IFERROR(COUNTIF(Escenarios!K:K,"NO APLICA"), "")</f>
        <v>0</v>
      </c>
      <c r="N21" s="62">
        <f t="array" ref="N21">(SUM(IFERROR(1/COUNTIF(Escenarios!M:M,Escenarios!M:M), 0))) -1</f>
        <v>0</v>
      </c>
      <c r="O21" s="62">
        <f>IFERROR(IF(SUM($Q$21, $R$21)="","", SUM($Q$21, $R$21)),"")</f>
        <v>0</v>
      </c>
      <c r="P21" s="62">
        <f>IFERROR(IF(SUM($H$21, (($O$21) * -1 ), (($S$21) * -1 ))="","", SUM($H$21, (($O$21) * -1 ), (($S$21 )* -1 ))),"")</f>
        <v>1</v>
      </c>
      <c r="Q21" s="62">
        <f>IFERROR(COUNTIF(Escenarios!N:N,"PASÓ"), "")</f>
        <v>0</v>
      </c>
      <c r="R21" s="62">
        <f>IFERROR(COUNTIF(Escenarios!N:N,"FALLÓ"), "")</f>
        <v>0</v>
      </c>
      <c r="S21" s="62">
        <f>IFERROR(COUNTIF(Escenarios!N:N,"NO APLICA"), "")</f>
        <v>0</v>
      </c>
      <c r="T21" s="62">
        <f t="array" ref="T21">(SUM(IFERROR(1/COUNTIF(Escenarios!P:P,Escenarios!P:P), 0))) -1</f>
        <v>0</v>
      </c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18"/>
      <c r="AT21" s="41"/>
      <c r="AU21" s="41"/>
      <c r="AV21" s="41"/>
      <c r="AW21" s="41"/>
      <c r="AX21" s="41"/>
      <c r="AY21" s="41"/>
      <c r="AZ21" s="41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</row>
    <row r="22" spans="1:80" x14ac:dyDescent="0.25">
      <c r="A22" s="21"/>
      <c r="B22" s="62" t="s">
        <v>73</v>
      </c>
      <c r="C22" s="62">
        <v>0</v>
      </c>
      <c r="D22" s="62">
        <f>IFERROR(COUNTIF(xxxx!Q:Q,"OK"), "")</f>
        <v>0</v>
      </c>
      <c r="E22" s="62" t="str">
        <f>VLOOKUP(Consolidado!B22,LISTAS!C:D,2,FALSE)</f>
        <v>Funcionales</v>
      </c>
      <c r="F22" s="62">
        <f>IFERROR(COUNTIF(xxxx!I:I,"SI"), "")</f>
        <v>0</v>
      </c>
      <c r="G22" s="62">
        <f>IFERROR(COUNTIF(xxxx!J:J,"SI"), "")</f>
        <v>0</v>
      </c>
      <c r="H22" s="62">
        <f>COUNTIF(xxxx!A:A, "&gt;0")</f>
        <v>0</v>
      </c>
      <c r="I22" s="62">
        <f>IFERROR(IF(SUM($K$22, $L$22)="","", SUM($K$22, $L$22)),"")</f>
        <v>0</v>
      </c>
      <c r="J22" s="62">
        <f>IFERROR(IF(SUM($H$22, (($I$22) * -1 ), (($M$22) * -1 ))="","", SUM($H$22, (($I$22) * -1 ), (($M$22 )* -1 ))),"")</f>
        <v>0</v>
      </c>
      <c r="K22" s="62">
        <f>IFERROR(COUNTIF(xxxx!K:K,"PASÓ"), "")</f>
        <v>0</v>
      </c>
      <c r="L22" s="62">
        <f>IFERROR(COUNTIF(xxxx!K:K,"FALLÓ"), "")</f>
        <v>0</v>
      </c>
      <c r="M22" s="62">
        <f>IFERROR(COUNTIF(xxxx!K:K,"NO APLICA"), "")</f>
        <v>0</v>
      </c>
      <c r="N22" s="62">
        <f t="array" ref="N22">(SUM(IFERROR(1/COUNTIF(xxxx!M:M,xxxx!M:M), 0))) -1</f>
        <v>0</v>
      </c>
      <c r="O22" s="62">
        <f>IFERROR(IF(SUM($Q$22, $R$22)="","", SUM($Q$22, $R$22)),"")</f>
        <v>0</v>
      </c>
      <c r="P22" s="62">
        <f>IFERROR(IF(SUM($H$22, (($O$22) * -1 ), (($S$22) * -1 ))="","", SUM($H$22, (($O$22) * -1 ), (($S$22 )* -1 ))),"")</f>
        <v>0</v>
      </c>
      <c r="Q22" s="62">
        <f>IFERROR(COUNTIF(xxxx!N:N,"PASÓ"), "")</f>
        <v>0</v>
      </c>
      <c r="R22" s="62">
        <f>IFERROR(COUNTIF(xxxx!N:N,"FALLÓ"), "")</f>
        <v>0</v>
      </c>
      <c r="S22" s="62">
        <f>IFERROR(COUNTIF(xxxx!N:N,"NO APLICA"), "")</f>
        <v>0</v>
      </c>
      <c r="T22" s="62">
        <f t="array" ref="T22">(SUM(IFERROR(1/COUNTIF(xxxx!P:P,xxxx!P:P), 0))) -1</f>
        <v>0</v>
      </c>
      <c r="U22" s="21"/>
      <c r="V22" s="38"/>
      <c r="W22" s="38"/>
      <c r="X22" s="38"/>
      <c r="Y22" s="38"/>
      <c r="Z22" s="38"/>
      <c r="AA22" s="64"/>
      <c r="AB22" s="64"/>
      <c r="AC22" s="64"/>
      <c r="AD22" s="38"/>
      <c r="AE22" s="38"/>
      <c r="AF22" s="38"/>
      <c r="AG22" s="38"/>
      <c r="AH22" s="38"/>
      <c r="AI22" s="64"/>
      <c r="AJ22" s="64"/>
      <c r="AK22" s="42"/>
      <c r="AL22" s="42"/>
      <c r="AM22" s="21"/>
      <c r="AN22" s="21"/>
      <c r="AO22" s="21"/>
      <c r="AP22" s="21"/>
      <c r="AQ22" s="21"/>
      <c r="AR22" s="21"/>
      <c r="AS22" s="18"/>
      <c r="AT22" s="41"/>
      <c r="AU22" s="41"/>
      <c r="AV22" s="25"/>
      <c r="AW22" s="25"/>
      <c r="AX22" s="25"/>
      <c r="AY22" s="25"/>
      <c r="AZ22" s="25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</row>
    <row r="23" spans="1:80" x14ac:dyDescent="0.25">
      <c r="A23" s="18"/>
      <c r="B23" s="118" t="s">
        <v>74</v>
      </c>
      <c r="C23" s="118">
        <v>0</v>
      </c>
      <c r="D23" s="118">
        <f>IFERROR(COUNTIF(Registro_Cliente_NOPCOMMERCE!Q:Q,"OK"), "")</f>
        <v>0</v>
      </c>
      <c r="E23" s="118" t="str">
        <f>VLOOKUP(Consolidado!B23,LISTAS!C:D,2,FALSE)</f>
        <v>Funcionales</v>
      </c>
      <c r="F23" s="118">
        <f>IFERROR(COUNTIF(Registro_Cliente_NOPCOMMERCE!I:I,"SI"), "")</f>
        <v>4</v>
      </c>
      <c r="G23" s="118">
        <f>IFERROR(COUNTIF(Registro_Cliente_NOPCOMMERCE!J:J,"SI"), "")</f>
        <v>0</v>
      </c>
      <c r="H23" s="118">
        <f>COUNTIF(Registro_Cliente_NOPCOMMERCE!A:A, "&gt;0")</f>
        <v>7</v>
      </c>
      <c r="I23" s="118">
        <f>IFERROR(IF(SUM($K$23, $L$23)="","", SUM($K$23, $L$23)),"")</f>
        <v>0</v>
      </c>
      <c r="J23" s="118">
        <f>IFERROR(IF(SUM($H$23, (($I$23) * -1 ), (($M$23) * -1 ))="","", SUM($H$23, (($I$23) * -1 ), (($M$23 )* -1 ))),"")</f>
        <v>7</v>
      </c>
      <c r="K23" s="119">
        <f>IFERROR(COUNTIF(Registro_Cliente_NOPCOMMERCE!K:K,"PASÓ"), "")</f>
        <v>0</v>
      </c>
      <c r="L23" s="118">
        <f>IFERROR(COUNTIF(Registro_Cliente_NOPCOMMERCE!K:K,"FALLÓ"), "")</f>
        <v>0</v>
      </c>
      <c r="M23" s="118">
        <f>IFERROR(COUNTIF(Registro_Cliente_NOPCOMMERCE!K:K,"NO APLICA"), "")</f>
        <v>0</v>
      </c>
      <c r="N23" s="118">
        <f t="array" ref="N23">(SUM(IFERROR(1/COUNTIF(Registro_Cliente_NOPCOMMERCE!M:M,Registro_Cliente_NOPCOMMERCE!M:M), 0))) -1</f>
        <v>0</v>
      </c>
      <c r="O23" s="62">
        <f>IFERROR(IF(SUM($Q$23, $R$23)="","", SUM($Q$23, $R$23)),"")</f>
        <v>0</v>
      </c>
      <c r="P23" s="62">
        <f>IFERROR(IF(SUM($H$23, (($O$23) * -1 ), (($S$23) * -1 ))="","", SUM($H$23, (($O$23) * -1 ), (($S$23 )* -1 ))),"")</f>
        <v>7</v>
      </c>
      <c r="Q23" s="62">
        <f>IFERROR(COUNTIF(Registro_Cliente_NOPCOMMERCE!N:N,"PASÓ"), "")</f>
        <v>0</v>
      </c>
      <c r="R23" s="62">
        <f>IFERROR(COUNTIF(Registro_Cliente_NOPCOMMERCE!N:N,"FALLÓ"), "")</f>
        <v>0</v>
      </c>
      <c r="S23" s="62">
        <f>IFERROR(COUNTIF(Registro_Cliente_NOPCOMMERCE!N:N,"NO APLICA"), "")</f>
        <v>0</v>
      </c>
      <c r="T23" s="62">
        <f t="array" ref="T23">(SUM(IFERROR(1/COUNTIF(Registro_Cliente_NOPCOMMERCE!P:P,Registro_Cliente_NOPCOMMERCE!P:P), 0))) -1</f>
        <v>0</v>
      </c>
      <c r="U23" s="18"/>
      <c r="V23" s="18"/>
      <c r="W23" s="18"/>
      <c r="X23" s="18"/>
      <c r="Y23" s="18"/>
      <c r="Z23" s="41"/>
      <c r="AA23" s="41"/>
      <c r="AB23" s="41"/>
      <c r="AC23" s="41"/>
      <c r="AD23" s="38"/>
      <c r="AE23" s="38"/>
      <c r="AF23" s="38"/>
      <c r="AG23" s="38"/>
      <c r="AH23" s="38"/>
      <c r="AI23" s="41"/>
      <c r="AJ23" s="41"/>
      <c r="AK23" s="41"/>
      <c r="AL23" s="41"/>
      <c r="AM23" s="18"/>
      <c r="AN23" s="18"/>
      <c r="AO23" s="18"/>
      <c r="AP23" s="18"/>
      <c r="AQ23" s="18"/>
      <c r="AR23" s="18"/>
      <c r="AS23" s="18"/>
      <c r="AT23" s="41"/>
      <c r="AU23" s="41"/>
      <c r="AV23" s="25"/>
      <c r="AW23" s="25"/>
      <c r="AX23" s="25"/>
      <c r="AY23" s="25"/>
      <c r="AZ23" s="25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</row>
    <row r="24" spans="1:80" x14ac:dyDescent="0.25">
      <c r="A24" s="21"/>
      <c r="B24" s="21"/>
      <c r="C24" s="64"/>
      <c r="D24" s="64"/>
      <c r="E24" s="64"/>
      <c r="F24" s="64"/>
      <c r="G24" s="64"/>
      <c r="H24" s="39"/>
      <c r="I24" s="64"/>
      <c r="J24" s="64"/>
      <c r="K24" s="34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41"/>
      <c r="AJ24" s="41"/>
      <c r="AK24" s="41"/>
      <c r="AL24" s="41"/>
      <c r="AM24" s="18"/>
      <c r="AN24" s="18"/>
      <c r="AO24" s="18"/>
      <c r="AP24" s="18"/>
      <c r="AQ24" s="18"/>
      <c r="AR24" s="18"/>
      <c r="AS24" s="18"/>
      <c r="AT24" s="41"/>
      <c r="AU24" s="41"/>
      <c r="AV24" s="25"/>
      <c r="AW24" s="25"/>
      <c r="AX24" s="25"/>
      <c r="AY24" s="25"/>
      <c r="AZ24" s="25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</row>
    <row r="25" spans="1:80" x14ac:dyDescent="0.25">
      <c r="A25" s="21"/>
      <c r="B25" s="21"/>
      <c r="C25" s="64"/>
      <c r="D25" s="64"/>
      <c r="E25" s="64"/>
      <c r="F25" s="64"/>
      <c r="G25" s="64"/>
      <c r="H25" s="64"/>
      <c r="I25" s="41"/>
      <c r="J25" s="41"/>
      <c r="K25" s="34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41"/>
      <c r="AJ25" s="41"/>
      <c r="AK25" s="41"/>
      <c r="AL25" s="41"/>
      <c r="AM25" s="18"/>
      <c r="AN25" s="18"/>
      <c r="AO25" s="18"/>
      <c r="AP25" s="18"/>
      <c r="AQ25" s="18"/>
      <c r="AR25" s="18"/>
      <c r="AS25" s="18"/>
      <c r="AT25" s="41"/>
      <c r="AU25" s="41"/>
      <c r="AV25" s="25"/>
      <c r="AW25" s="25"/>
      <c r="AX25" s="25"/>
      <c r="AY25" s="25"/>
      <c r="AZ25" s="25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</row>
    <row r="26" spans="1:80" x14ac:dyDescent="0.25">
      <c r="A26" s="18"/>
      <c r="B26" s="21"/>
      <c r="C26" s="64"/>
      <c r="D26" s="64"/>
      <c r="E26" s="64"/>
      <c r="F26" s="21"/>
      <c r="G26" s="21"/>
      <c r="H26" s="21"/>
      <c r="I26" s="18"/>
      <c r="J26" s="18"/>
      <c r="K26" s="35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</row>
    <row r="27" spans="1:80" x14ac:dyDescent="0.25">
      <c r="A27" s="18"/>
      <c r="B27" s="18"/>
      <c r="C27" s="41"/>
      <c r="D27" s="41"/>
      <c r="E27" s="41"/>
      <c r="F27" s="18"/>
      <c r="G27" s="18"/>
      <c r="H27" s="18"/>
      <c r="I27" s="18"/>
      <c r="J27" s="18"/>
      <c r="K27" s="35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</row>
    <row r="28" spans="1:8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35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</row>
    <row r="29" spans="1:8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35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</row>
    <row r="30" spans="1:8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35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</row>
    <row r="31" spans="1:80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35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</row>
    <row r="32" spans="1:80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35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</row>
    <row r="33" spans="1:47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35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</row>
    <row r="34" spans="1:47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35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</row>
    <row r="35" spans="1:47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35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47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35"/>
      <c r="L36" s="18"/>
      <c r="M36" s="18"/>
      <c r="N36" s="18"/>
      <c r="O36" s="18"/>
    </row>
    <row r="37" spans="1:47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35"/>
      <c r="L37" s="18"/>
      <c r="M37" s="18"/>
      <c r="N37" s="18"/>
      <c r="O37" s="18"/>
    </row>
  </sheetData>
  <mergeCells count="26">
    <mergeCell ref="BF19:BM19"/>
    <mergeCell ref="D1:J1"/>
    <mergeCell ref="D3:F3"/>
    <mergeCell ref="G9:J9"/>
    <mergeCell ref="G8:J8"/>
    <mergeCell ref="G7:J7"/>
    <mergeCell ref="G6:J6"/>
    <mergeCell ref="G5:J5"/>
    <mergeCell ref="G4:J4"/>
    <mergeCell ref="G3:J3"/>
    <mergeCell ref="D9:F9"/>
    <mergeCell ref="D8:F8"/>
    <mergeCell ref="G17:H17"/>
    <mergeCell ref="D4:F4"/>
    <mergeCell ref="C18:D18"/>
    <mergeCell ref="D7:F7"/>
    <mergeCell ref="AM19:AR19"/>
    <mergeCell ref="D5:F5"/>
    <mergeCell ref="B19:B20"/>
    <mergeCell ref="C17:D17"/>
    <mergeCell ref="C14:D14"/>
    <mergeCell ref="C15:D15"/>
    <mergeCell ref="D6:F6"/>
    <mergeCell ref="C19:H19"/>
    <mergeCell ref="I19:N19"/>
    <mergeCell ref="O19:T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r_hojaDCP">
                <anchor moveWithCells="1" sizeWithCells="1">
                  <from>
                    <xdr:col>4</xdr:col>
                    <xdr:colOff>180975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LISTAS!$A$2:$A$9</xm:f>
          </x14:formula1>
          <xm:sqref>C15:D15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7"/>
  <sheetViews>
    <sheetView workbookViewId="0">
      <selection activeCell="C3" sqref="C3:E4"/>
    </sheetView>
  </sheetViews>
  <sheetFormatPr baseColWidth="10" defaultRowHeight="15" x14ac:dyDescent="0.25"/>
  <cols>
    <col min="1" max="1" width="15.42578125" customWidth="1"/>
  </cols>
  <sheetData>
    <row r="1" spans="1:4" x14ac:dyDescent="0.25">
      <c r="A1" s="23" t="s">
        <v>23</v>
      </c>
      <c r="C1" s="107" t="s">
        <v>21</v>
      </c>
      <c r="D1" s="107"/>
    </row>
    <row r="2" spans="1:4" x14ac:dyDescent="0.25">
      <c r="A2" s="37" t="s">
        <v>28</v>
      </c>
      <c r="C2" s="23" t="s">
        <v>34</v>
      </c>
      <c r="D2" s="23" t="s">
        <v>24</v>
      </c>
    </row>
    <row r="3" spans="1:4" x14ac:dyDescent="0.25">
      <c r="A3" s="37" t="s">
        <v>33</v>
      </c>
      <c r="C3" t="s">
        <v>46</v>
      </c>
      <c r="D3" t="s">
        <v>28</v>
      </c>
    </row>
    <row r="4" spans="1:4" x14ac:dyDescent="0.25">
      <c r="A4" s="37"/>
      <c r="C4" t="s">
        <v>49</v>
      </c>
      <c r="D4" t="s">
        <v>28</v>
      </c>
    </row>
    <row r="5" spans="1:4" x14ac:dyDescent="0.25">
      <c r="C5" t="s">
        <v>50</v>
      </c>
      <c r="D5" t="s">
        <v>33</v>
      </c>
    </row>
    <row r="6" spans="1:4" x14ac:dyDescent="0.25">
      <c r="C6" t="s">
        <v>73</v>
      </c>
      <c r="D6" t="s">
        <v>28</v>
      </c>
    </row>
    <row r="7" spans="1:4" x14ac:dyDescent="0.25">
      <c r="C7" t="s">
        <v>74</v>
      </c>
      <c r="D7" t="s">
        <v>28</v>
      </c>
    </row>
  </sheetData>
  <mergeCells count="1"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iseño">
    <tabColor theme="4" tint="-0.249977111117893"/>
  </sheetPr>
  <dimension ref="A1:R109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5" sqref="C5"/>
    </sheetView>
  </sheetViews>
  <sheetFormatPr baseColWidth="10" defaultColWidth="35.140625" defaultRowHeight="39.75" customHeight="1" x14ac:dyDescent="0.25"/>
  <cols>
    <col min="1" max="1" width="8.85546875" style="3" customWidth="1"/>
    <col min="2" max="2" width="17.140625" style="3" customWidth="1"/>
    <col min="3" max="3" width="28" style="1" customWidth="1"/>
    <col min="4" max="4" width="26" style="2" customWidth="1"/>
    <col min="5" max="5" width="43.140625" style="2" customWidth="1"/>
    <col min="6" max="6" width="35.42578125" style="2" customWidth="1"/>
    <col min="7" max="7" width="37.5703125" style="2" customWidth="1"/>
    <col min="8" max="8" width="37.140625" style="2" hidden="1" customWidth="1"/>
    <col min="9" max="10" width="19.5703125" style="22" customWidth="1"/>
    <col min="11" max="11" width="13.42578125" style="22" customWidth="1"/>
    <col min="12" max="12" width="43.5703125" style="22" customWidth="1"/>
    <col min="13" max="16" width="16.42578125" style="1" customWidth="1"/>
    <col min="17" max="17" width="13.140625" style="8" customWidth="1"/>
    <col min="18" max="18" width="35.140625" style="7"/>
    <col min="19" max="16384" width="35.140625" style="2"/>
  </cols>
  <sheetData>
    <row r="1" spans="1:17" s="5" customFormat="1" ht="36.75" customHeight="1" thickBot="1" x14ac:dyDescent="0.3">
      <c r="A1" s="108" t="s">
        <v>2</v>
      </c>
      <c r="B1" s="108" t="s">
        <v>20</v>
      </c>
      <c r="C1" s="108" t="s">
        <v>11</v>
      </c>
      <c r="D1" s="108" t="s">
        <v>0</v>
      </c>
      <c r="E1" s="108" t="s">
        <v>12</v>
      </c>
      <c r="F1" s="108" t="s">
        <v>1</v>
      </c>
      <c r="G1" s="108" t="s">
        <v>18</v>
      </c>
      <c r="H1" s="113" t="s">
        <v>9</v>
      </c>
      <c r="I1" s="108" t="s">
        <v>29</v>
      </c>
      <c r="J1" s="108" t="s">
        <v>30</v>
      </c>
      <c r="K1" s="36" t="s">
        <v>5</v>
      </c>
      <c r="L1" s="36" t="s">
        <v>7</v>
      </c>
      <c r="M1" s="36" t="s">
        <v>6</v>
      </c>
      <c r="N1" s="36" t="s">
        <v>5</v>
      </c>
      <c r="O1" s="36" t="s">
        <v>7</v>
      </c>
      <c r="P1" s="36" t="s">
        <v>6</v>
      </c>
      <c r="Q1" s="108" t="s">
        <v>8</v>
      </c>
    </row>
    <row r="2" spans="1:17" s="6" customFormat="1" ht="27.75" customHeight="1" thickBot="1" x14ac:dyDescent="0.3">
      <c r="A2" s="109"/>
      <c r="B2" s="109"/>
      <c r="C2" s="109"/>
      <c r="D2" s="109"/>
      <c r="E2" s="109"/>
      <c r="F2" s="109"/>
      <c r="G2" s="109"/>
      <c r="H2" s="114"/>
      <c r="I2" s="109"/>
      <c r="J2" s="109"/>
      <c r="K2" s="115" t="s">
        <v>26</v>
      </c>
      <c r="L2" s="116"/>
      <c r="M2" s="117"/>
      <c r="N2" s="115" t="s">
        <v>31</v>
      </c>
      <c r="O2" s="116"/>
      <c r="P2" s="117"/>
      <c r="Q2" s="109"/>
    </row>
    <row r="3" spans="1:17" s="57" customFormat="1" ht="18" customHeight="1" x14ac:dyDescent="0.25">
      <c r="A3" s="54" t="s">
        <v>32</v>
      </c>
      <c r="B3" s="110"/>
      <c r="C3" s="111"/>
      <c r="D3" s="111"/>
      <c r="E3" s="111"/>
      <c r="F3" s="111"/>
      <c r="G3" s="112"/>
      <c r="H3" s="55"/>
      <c r="I3" s="55"/>
      <c r="J3" s="55"/>
      <c r="K3" s="54"/>
      <c r="L3" s="55"/>
      <c r="M3" s="54"/>
      <c r="N3" s="54"/>
      <c r="O3" s="55"/>
      <c r="P3" s="54"/>
      <c r="Q3" s="56"/>
    </row>
    <row r="109" spans="1:17" ht="39.75" customHeight="1" x14ac:dyDescent="0.25">
      <c r="A109" s="9"/>
      <c r="B109" s="20"/>
      <c r="C109" s="9"/>
      <c r="D109" s="16"/>
      <c r="E109" s="16"/>
      <c r="F109" s="16"/>
      <c r="G109" s="16"/>
      <c r="H109" s="16"/>
      <c r="I109" s="16"/>
      <c r="J109" s="16"/>
      <c r="K109" s="16"/>
      <c r="L109" s="16"/>
      <c r="M109" s="20"/>
      <c r="N109" s="20"/>
      <c r="O109" s="20"/>
      <c r="P109" s="20"/>
      <c r="Q109" s="17"/>
    </row>
  </sheetData>
  <sheetProtection insertColumns="0" insertRows="0" deleteRows="0"/>
  <protectedRanges>
    <protectedRange sqref="B4:IY65494 A3:A65494 B3:F3 G3:IY3" name="Rango2"/>
  </protectedRanges>
  <mergeCells count="14">
    <mergeCell ref="B3:G3"/>
    <mergeCell ref="Q1:Q2"/>
    <mergeCell ref="H1:H2"/>
    <mergeCell ref="G1:G2"/>
    <mergeCell ref="K2:M2"/>
    <mergeCell ref="I1:I2"/>
    <mergeCell ref="J1:J2"/>
    <mergeCell ref="N2:P2"/>
    <mergeCell ref="A1:A2"/>
    <mergeCell ref="C1:C2"/>
    <mergeCell ref="D1:D2"/>
    <mergeCell ref="E1:E2"/>
    <mergeCell ref="F1:F2"/>
    <mergeCell ref="B1:B2"/>
  </mergeCells>
  <phoneticPr fontId="0" type="noConversion"/>
  <pageMargins left="0.7" right="0.7" top="0.75" bottom="0.75" header="0.3" footer="0.3"/>
  <pageSetup orientation="portrait" verticalDpi="200" r:id="rId1"/>
  <drawing r:id="rId2"/>
  <legacyDrawing r:id="rId3"/>
  <controls>
    <mc:AlternateContent xmlns:mc="http://schemas.openxmlformats.org/markup-compatibility/2006">
      <mc:Choice Requires="x14">
        <control shapeId="3081" r:id="rId4" name="btnCrearRonda">
          <controlPr autoLine="0" r:id="rId5">
            <anchor moveWithCells="1">
              <from>
                <xdr:col>17</xdr:col>
                <xdr:colOff>571500</xdr:colOff>
                <xdr:row>0</xdr:row>
                <xdr:rowOff>180975</xdr:rowOff>
              </from>
              <to>
                <xdr:col>17</xdr:col>
                <xdr:colOff>2162175</xdr:colOff>
                <xdr:row>1</xdr:row>
                <xdr:rowOff>9525</xdr:rowOff>
              </to>
            </anchor>
          </controlPr>
        </control>
      </mc:Choice>
      <mc:Fallback>
        <control shapeId="3081" r:id="rId4" name="btnCrearRond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iseño1">
    <tabColor theme="4" tint="-0.249977111117893"/>
  </sheetPr>
  <dimension ref="A1:R109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" sqref="C4"/>
    </sheetView>
  </sheetViews>
  <sheetFormatPr baseColWidth="10" defaultColWidth="35.140625" defaultRowHeight="39.75" customHeight="1" x14ac:dyDescent="0.25"/>
  <cols>
    <col min="1" max="1" width="8.85546875" style="3" customWidth="1"/>
    <col min="2" max="2" width="17.140625" style="3" customWidth="1"/>
    <col min="3" max="3" width="28" style="1" customWidth="1"/>
    <col min="4" max="4" width="26" style="22" customWidth="1"/>
    <col min="5" max="5" width="43.140625" style="22" customWidth="1"/>
    <col min="6" max="6" width="35.42578125" style="22" customWidth="1"/>
    <col min="7" max="7" width="37.5703125" style="22" customWidth="1"/>
    <col min="8" max="8" width="37.140625" style="22" hidden="1" customWidth="1"/>
    <col min="9" max="10" width="19.5703125" style="22" customWidth="1"/>
    <col min="11" max="11" width="13.42578125" style="22" customWidth="1"/>
    <col min="12" max="12" width="43.5703125" style="22" customWidth="1"/>
    <col min="13" max="16" width="16.42578125" style="1" customWidth="1"/>
    <col min="17" max="17" width="13.140625" style="8" customWidth="1"/>
    <col min="18" max="18" width="35.140625" style="7"/>
    <col min="19" max="16384" width="35.140625" style="22"/>
  </cols>
  <sheetData>
    <row r="1" spans="1:17" s="5" customFormat="1" ht="36.75" customHeight="1" thickBot="1" x14ac:dyDescent="0.3">
      <c r="A1" s="108" t="s">
        <v>2</v>
      </c>
      <c r="B1" s="108" t="s">
        <v>20</v>
      </c>
      <c r="C1" s="108" t="s">
        <v>11</v>
      </c>
      <c r="D1" s="108" t="s">
        <v>0</v>
      </c>
      <c r="E1" s="108" t="s">
        <v>12</v>
      </c>
      <c r="F1" s="108" t="s">
        <v>1</v>
      </c>
      <c r="G1" s="108" t="s">
        <v>18</v>
      </c>
      <c r="H1" s="113" t="s">
        <v>9</v>
      </c>
      <c r="I1" s="108" t="s">
        <v>29</v>
      </c>
      <c r="J1" s="108" t="s">
        <v>30</v>
      </c>
      <c r="K1" s="36" t="s">
        <v>5</v>
      </c>
      <c r="L1" s="36" t="s">
        <v>7</v>
      </c>
      <c r="M1" s="36" t="s">
        <v>6</v>
      </c>
      <c r="N1" s="36" t="s">
        <v>5</v>
      </c>
      <c r="O1" s="36" t="s">
        <v>7</v>
      </c>
      <c r="P1" s="36" t="s">
        <v>6</v>
      </c>
      <c r="Q1" s="108" t="s">
        <v>8</v>
      </c>
    </row>
    <row r="2" spans="1:17" s="6" customFormat="1" ht="27.75" customHeight="1" thickBot="1" x14ac:dyDescent="0.3">
      <c r="A2" s="109"/>
      <c r="B2" s="109"/>
      <c r="C2" s="109"/>
      <c r="D2" s="109"/>
      <c r="E2" s="109"/>
      <c r="F2" s="109"/>
      <c r="G2" s="109"/>
      <c r="H2" s="114"/>
      <c r="I2" s="109"/>
      <c r="J2" s="109"/>
      <c r="K2" s="115" t="s">
        <v>26</v>
      </c>
      <c r="L2" s="116"/>
      <c r="M2" s="117"/>
      <c r="N2" s="115" t="s">
        <v>31</v>
      </c>
      <c r="O2" s="116"/>
      <c r="P2" s="117"/>
      <c r="Q2" s="109"/>
    </row>
    <row r="3" spans="1:17" s="57" customFormat="1" ht="18" customHeight="1" x14ac:dyDescent="0.25">
      <c r="A3" s="54" t="s">
        <v>32</v>
      </c>
      <c r="B3" s="110"/>
      <c r="C3" s="111"/>
      <c r="D3" s="111"/>
      <c r="E3" s="111"/>
      <c r="F3" s="111"/>
      <c r="G3" s="112"/>
      <c r="H3" s="55"/>
      <c r="I3" s="55"/>
      <c r="J3" s="55"/>
      <c r="K3" s="54"/>
      <c r="L3" s="55"/>
      <c r="M3" s="54"/>
      <c r="N3" s="54"/>
      <c r="O3" s="55"/>
      <c r="P3" s="54"/>
      <c r="Q3" s="56"/>
    </row>
    <row r="4" spans="1:17" ht="15" x14ac:dyDescent="0.25">
      <c r="A4" s="61">
        <v>1</v>
      </c>
      <c r="B4" s="59" t="s">
        <v>52</v>
      </c>
      <c r="C4" s="59" t="s">
        <v>53</v>
      </c>
      <c r="D4" s="59" t="s">
        <v>54</v>
      </c>
      <c r="E4" s="59" t="s">
        <v>55</v>
      </c>
      <c r="F4" s="59" t="s">
        <v>56</v>
      </c>
      <c r="G4" s="59" t="s">
        <v>57</v>
      </c>
      <c r="H4" s="59"/>
      <c r="I4" s="59" t="s">
        <v>51</v>
      </c>
      <c r="J4" s="59" t="s">
        <v>51</v>
      </c>
      <c r="K4" s="61" t="s">
        <v>58</v>
      </c>
      <c r="L4" s="59"/>
      <c r="M4" s="58"/>
      <c r="N4" s="58"/>
      <c r="O4" s="59"/>
      <c r="P4" s="58"/>
      <c r="Q4" s="60" t="s">
        <v>59</v>
      </c>
    </row>
    <row r="6" spans="1:17" ht="15" x14ac:dyDescent="0.25">
      <c r="A6" s="65"/>
      <c r="B6" s="66"/>
      <c r="C6" s="66"/>
      <c r="D6" s="66"/>
      <c r="E6" s="66"/>
      <c r="F6" s="66"/>
      <c r="G6" s="66"/>
      <c r="H6" s="66"/>
      <c r="I6" s="66"/>
      <c r="J6" s="66"/>
      <c r="K6" s="65"/>
      <c r="L6" s="66"/>
      <c r="M6" s="65"/>
      <c r="N6" s="65"/>
      <c r="O6" s="66"/>
      <c r="P6" s="65"/>
      <c r="Q6" s="67"/>
    </row>
    <row r="109" spans="1:17" ht="39.75" customHeight="1" x14ac:dyDescent="0.25">
      <c r="A109" s="20"/>
      <c r="B109" s="20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20"/>
      <c r="N109" s="20"/>
      <c r="O109" s="20"/>
      <c r="P109" s="20"/>
      <c r="Q109" s="17"/>
    </row>
  </sheetData>
  <sheetProtection insertColumns="0" insertRows="0" deleteRows="0"/>
  <protectedRanges>
    <protectedRange sqref="A3:IY65494" name="Rango2"/>
  </protectedRanges>
  <mergeCells count="14">
    <mergeCell ref="Q1:Q2"/>
    <mergeCell ref="K2:M2"/>
    <mergeCell ref="N2:P2"/>
    <mergeCell ref="A1:A2"/>
    <mergeCell ref="B1:B2"/>
    <mergeCell ref="C1:C2"/>
    <mergeCell ref="D1:D2"/>
    <mergeCell ref="E1:E2"/>
    <mergeCell ref="F1:F2"/>
    <mergeCell ref="B3:G3"/>
    <mergeCell ref="G1:G2"/>
    <mergeCell ref="H1:H2"/>
    <mergeCell ref="I1:I2"/>
    <mergeCell ref="J1:J2"/>
  </mergeCells>
  <pageMargins left="0.7" right="0.7" top="0.75" bottom="0.75" header="0.3" footer="0.3"/>
  <pageSetup orientation="portrait" verticalDpi="200" r:id="rId1"/>
  <drawing r:id="rId2"/>
  <legacyDrawing r:id="rId3"/>
  <controls>
    <mc:AlternateContent xmlns:mc="http://schemas.openxmlformats.org/markup-compatibility/2006">
      <mc:Choice Requires="x14">
        <control shapeId="6145" r:id="rId4" name="btnCrearRonda">
          <controlPr autoLine="0" r:id="rId5">
            <anchor moveWithCells="1">
              <from>
                <xdr:col>17</xdr:col>
                <xdr:colOff>571500</xdr:colOff>
                <xdr:row>0</xdr:row>
                <xdr:rowOff>180975</xdr:rowOff>
              </from>
              <to>
                <xdr:col>17</xdr:col>
                <xdr:colOff>2162175</xdr:colOff>
                <xdr:row>1</xdr:row>
                <xdr:rowOff>9525</xdr:rowOff>
              </to>
            </anchor>
          </controlPr>
        </control>
      </mc:Choice>
      <mc:Fallback>
        <control shapeId="6145" r:id="rId4" name="btnCrearRond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iseño2">
    <tabColor theme="4" tint="-0.249977111117893"/>
  </sheetPr>
  <dimension ref="A1:R109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7" sqref="E7"/>
    </sheetView>
  </sheetViews>
  <sheetFormatPr baseColWidth="10" defaultColWidth="35.140625" defaultRowHeight="39.75" customHeight="1" x14ac:dyDescent="0.25"/>
  <cols>
    <col min="1" max="1" width="8.85546875" style="3" customWidth="1"/>
    <col min="2" max="2" width="17.140625" style="3" customWidth="1"/>
    <col min="3" max="3" width="28" style="1" customWidth="1"/>
    <col min="4" max="4" width="26" style="22" customWidth="1"/>
    <col min="5" max="5" width="43.140625" style="22" customWidth="1"/>
    <col min="6" max="6" width="35.42578125" style="22" customWidth="1"/>
    <col min="7" max="7" width="37.5703125" style="22" customWidth="1"/>
    <col min="8" max="8" width="37.140625" style="22" hidden="1" customWidth="1"/>
    <col min="9" max="10" width="19.5703125" style="22" customWidth="1"/>
    <col min="11" max="11" width="13.42578125" style="22" customWidth="1"/>
    <col min="12" max="12" width="43.5703125" style="22" customWidth="1"/>
    <col min="13" max="16" width="16.42578125" style="1" customWidth="1"/>
    <col min="17" max="17" width="13.140625" style="8" customWidth="1"/>
    <col min="18" max="18" width="35.140625" style="7"/>
    <col min="19" max="16384" width="35.140625" style="22"/>
  </cols>
  <sheetData>
    <row r="1" spans="1:17" s="5" customFormat="1" ht="36.75" customHeight="1" thickBot="1" x14ac:dyDescent="0.3">
      <c r="A1" s="108" t="s">
        <v>2</v>
      </c>
      <c r="B1" s="108" t="s">
        <v>20</v>
      </c>
      <c r="C1" s="108" t="s">
        <v>11</v>
      </c>
      <c r="D1" s="108" t="s">
        <v>0</v>
      </c>
      <c r="E1" s="108" t="s">
        <v>12</v>
      </c>
      <c r="F1" s="108" t="s">
        <v>1</v>
      </c>
      <c r="G1" s="108" t="s">
        <v>18</v>
      </c>
      <c r="H1" s="113" t="s">
        <v>9</v>
      </c>
      <c r="I1" s="108" t="s">
        <v>29</v>
      </c>
      <c r="J1" s="108" t="s">
        <v>30</v>
      </c>
      <c r="K1" s="36" t="s">
        <v>5</v>
      </c>
      <c r="L1" s="36" t="s">
        <v>7</v>
      </c>
      <c r="M1" s="36" t="s">
        <v>6</v>
      </c>
      <c r="N1" s="36" t="s">
        <v>5</v>
      </c>
      <c r="O1" s="36" t="s">
        <v>7</v>
      </c>
      <c r="P1" s="36" t="s">
        <v>6</v>
      </c>
      <c r="Q1" s="108" t="s">
        <v>8</v>
      </c>
    </row>
    <row r="2" spans="1:17" s="6" customFormat="1" ht="27.75" customHeight="1" thickBot="1" x14ac:dyDescent="0.3">
      <c r="A2" s="109"/>
      <c r="B2" s="109"/>
      <c r="C2" s="109"/>
      <c r="D2" s="109"/>
      <c r="E2" s="109"/>
      <c r="F2" s="109"/>
      <c r="G2" s="109"/>
      <c r="H2" s="114"/>
      <c r="I2" s="109"/>
      <c r="J2" s="109"/>
      <c r="K2" s="115" t="s">
        <v>26</v>
      </c>
      <c r="L2" s="116"/>
      <c r="M2" s="117"/>
      <c r="N2" s="115" t="s">
        <v>31</v>
      </c>
      <c r="O2" s="116"/>
      <c r="P2" s="117"/>
      <c r="Q2" s="109"/>
    </row>
    <row r="3" spans="1:17" s="57" customFormat="1" ht="18" customHeight="1" x14ac:dyDescent="0.25">
      <c r="A3" s="54" t="s">
        <v>32</v>
      </c>
      <c r="B3" s="110"/>
      <c r="C3" s="111"/>
      <c r="D3" s="111"/>
      <c r="E3" s="111"/>
      <c r="F3" s="111"/>
      <c r="G3" s="112"/>
      <c r="H3" s="55"/>
      <c r="I3" s="55"/>
      <c r="J3" s="55"/>
      <c r="K3" s="54"/>
      <c r="L3" s="55"/>
      <c r="M3" s="54"/>
      <c r="N3" s="54"/>
      <c r="O3" s="55"/>
      <c r="P3" s="54"/>
      <c r="Q3" s="56"/>
    </row>
    <row r="109" spans="1:17" ht="39.75" customHeight="1" x14ac:dyDescent="0.25">
      <c r="A109" s="20"/>
      <c r="B109" s="20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20"/>
      <c r="N109" s="20"/>
      <c r="O109" s="20"/>
      <c r="P109" s="20"/>
      <c r="Q109" s="17"/>
    </row>
  </sheetData>
  <sheetProtection insertColumns="0" insertRows="0" deleteRows="0"/>
  <protectedRanges>
    <protectedRange sqref="A3:IY65494" name="Rango2"/>
  </protectedRanges>
  <mergeCells count="14">
    <mergeCell ref="Q1:Q2"/>
    <mergeCell ref="K2:M2"/>
    <mergeCell ref="N2:P2"/>
    <mergeCell ref="A1:A2"/>
    <mergeCell ref="B1:B2"/>
    <mergeCell ref="C1:C2"/>
    <mergeCell ref="D1:D2"/>
    <mergeCell ref="E1:E2"/>
    <mergeCell ref="F1:F2"/>
    <mergeCell ref="B3:G3"/>
    <mergeCell ref="G1:G2"/>
    <mergeCell ref="H1:H2"/>
    <mergeCell ref="I1:I2"/>
    <mergeCell ref="J1:J2"/>
  </mergeCells>
  <pageMargins left="0.7" right="0.7" top="0.75" bottom="0.75" header="0.3" footer="0.3"/>
  <pageSetup orientation="portrait" verticalDpi="200" r:id="rId1"/>
  <drawing r:id="rId2"/>
  <legacyDrawing r:id="rId3"/>
  <controls>
    <mc:AlternateContent xmlns:mc="http://schemas.openxmlformats.org/markup-compatibility/2006">
      <mc:Choice Requires="x14">
        <control shapeId="8193" r:id="rId4" name="btnCrearRonda">
          <controlPr autoLine="0" r:id="rId5">
            <anchor moveWithCells="1">
              <from>
                <xdr:col>17</xdr:col>
                <xdr:colOff>571500</xdr:colOff>
                <xdr:row>0</xdr:row>
                <xdr:rowOff>180975</xdr:rowOff>
              </from>
              <to>
                <xdr:col>17</xdr:col>
                <xdr:colOff>2162175</xdr:colOff>
                <xdr:row>1</xdr:row>
                <xdr:rowOff>9525</xdr:rowOff>
              </to>
            </anchor>
          </controlPr>
        </control>
      </mc:Choice>
      <mc:Fallback>
        <control shapeId="8193" r:id="rId4" name="btnCrearRond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iseño3">
    <tabColor theme="4" tint="-0.249977111117893"/>
  </sheetPr>
  <dimension ref="A1:R109"/>
  <sheetViews>
    <sheetView showGridLines="0" tabSelected="1" zoomScale="60" zoomScaleNormal="6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0" sqref="B10"/>
    </sheetView>
  </sheetViews>
  <sheetFormatPr baseColWidth="10" defaultColWidth="35.140625" defaultRowHeight="39.75" customHeight="1" x14ac:dyDescent="0.25"/>
  <cols>
    <col min="1" max="1" width="8.85546875" style="3" customWidth="1"/>
    <col min="2" max="2" width="17.140625" style="3" customWidth="1"/>
    <col min="3" max="3" width="59" style="1" bestFit="1" customWidth="1"/>
    <col min="4" max="4" width="48.7109375" style="22" bestFit="1" customWidth="1"/>
    <col min="5" max="5" width="50.7109375" style="22" bestFit="1" customWidth="1"/>
    <col min="6" max="6" width="35.42578125" style="22" customWidth="1"/>
    <col min="7" max="7" width="37.5703125" style="22" customWidth="1"/>
    <col min="8" max="8" width="37.140625" style="22" hidden="1" customWidth="1"/>
    <col min="9" max="10" width="19.5703125" style="22" customWidth="1"/>
    <col min="11" max="11" width="13.42578125" style="22" customWidth="1"/>
    <col min="12" max="12" width="43.5703125" style="22" customWidth="1"/>
    <col min="13" max="16" width="16.42578125" style="1" customWidth="1"/>
    <col min="17" max="17" width="13.140625" style="8" customWidth="1"/>
    <col min="18" max="18" width="35.140625" style="7"/>
    <col min="19" max="16384" width="35.140625" style="22"/>
  </cols>
  <sheetData>
    <row r="1" spans="1:17" s="5" customFormat="1" ht="36.75" customHeight="1" thickBot="1" x14ac:dyDescent="0.3">
      <c r="A1" s="108" t="s">
        <v>2</v>
      </c>
      <c r="B1" s="108" t="s">
        <v>20</v>
      </c>
      <c r="C1" s="108" t="s">
        <v>11</v>
      </c>
      <c r="D1" s="108" t="s">
        <v>0</v>
      </c>
      <c r="E1" s="108" t="s">
        <v>12</v>
      </c>
      <c r="F1" s="108" t="s">
        <v>1</v>
      </c>
      <c r="G1" s="108" t="s">
        <v>18</v>
      </c>
      <c r="H1" s="113" t="s">
        <v>9</v>
      </c>
      <c r="I1" s="108" t="s">
        <v>29</v>
      </c>
      <c r="J1" s="108" t="s">
        <v>30</v>
      </c>
      <c r="K1" s="36" t="s">
        <v>5</v>
      </c>
      <c r="L1" s="36" t="s">
        <v>7</v>
      </c>
      <c r="M1" s="36" t="s">
        <v>6</v>
      </c>
      <c r="N1" s="36" t="s">
        <v>5</v>
      </c>
      <c r="O1" s="36" t="s">
        <v>7</v>
      </c>
      <c r="P1" s="36" t="s">
        <v>6</v>
      </c>
      <c r="Q1" s="108" t="s">
        <v>8</v>
      </c>
    </row>
    <row r="2" spans="1:17" s="6" customFormat="1" ht="27.75" customHeight="1" thickBot="1" x14ac:dyDescent="0.3">
      <c r="A2" s="109"/>
      <c r="B2" s="109"/>
      <c r="C2" s="109"/>
      <c r="D2" s="109"/>
      <c r="E2" s="109"/>
      <c r="F2" s="109"/>
      <c r="G2" s="109"/>
      <c r="H2" s="114"/>
      <c r="I2" s="109"/>
      <c r="J2" s="109"/>
      <c r="K2" s="115" t="s">
        <v>26</v>
      </c>
      <c r="L2" s="116"/>
      <c r="M2" s="117"/>
      <c r="N2" s="115" t="s">
        <v>31</v>
      </c>
      <c r="O2" s="116"/>
      <c r="P2" s="117"/>
      <c r="Q2" s="109"/>
    </row>
    <row r="3" spans="1:17" s="57" customFormat="1" ht="18" customHeight="1" x14ac:dyDescent="0.25">
      <c r="A3" s="54" t="s">
        <v>32</v>
      </c>
      <c r="B3" s="110"/>
      <c r="C3" s="111"/>
      <c r="D3" s="111"/>
      <c r="E3" s="111"/>
      <c r="F3" s="111"/>
      <c r="G3" s="112"/>
      <c r="H3" s="55"/>
      <c r="I3" s="55"/>
      <c r="J3" s="55"/>
      <c r="K3" s="54"/>
      <c r="L3" s="55"/>
      <c r="M3" s="54"/>
      <c r="N3" s="54"/>
      <c r="O3" s="55"/>
      <c r="P3" s="54"/>
      <c r="Q3" s="56"/>
    </row>
    <row r="4" spans="1:17" ht="30" x14ac:dyDescent="0.25">
      <c r="A4" s="58">
        <v>1</v>
      </c>
      <c r="B4" s="59" t="s">
        <v>75</v>
      </c>
      <c r="C4" s="59" t="s">
        <v>79</v>
      </c>
      <c r="D4" s="59" t="s">
        <v>76</v>
      </c>
      <c r="E4" s="59" t="s">
        <v>87</v>
      </c>
      <c r="F4" s="59" t="s">
        <v>77</v>
      </c>
      <c r="G4" s="59"/>
      <c r="H4" s="59"/>
      <c r="I4" s="59" t="s">
        <v>108</v>
      </c>
      <c r="J4" s="59" t="s">
        <v>51</v>
      </c>
      <c r="K4" s="58"/>
      <c r="L4" s="59"/>
      <c r="M4" s="58"/>
      <c r="N4" s="58"/>
      <c r="O4" s="59"/>
      <c r="P4" s="58"/>
      <c r="Q4" s="60"/>
    </row>
    <row r="5" spans="1:17" ht="180" x14ac:dyDescent="0.25">
      <c r="A5" s="120">
        <v>2</v>
      </c>
      <c r="B5" s="59" t="s">
        <v>78</v>
      </c>
      <c r="C5" s="59" t="s">
        <v>81</v>
      </c>
      <c r="D5" s="59" t="s">
        <v>76</v>
      </c>
      <c r="E5" s="59" t="s">
        <v>80</v>
      </c>
      <c r="F5" s="59" t="s">
        <v>92</v>
      </c>
      <c r="G5" s="59"/>
      <c r="H5" s="59"/>
      <c r="I5" s="59" t="s">
        <v>108</v>
      </c>
      <c r="J5" s="59" t="s">
        <v>51</v>
      </c>
      <c r="K5" s="58"/>
      <c r="L5" s="59"/>
      <c r="M5" s="58"/>
      <c r="N5" s="58"/>
      <c r="O5" s="59"/>
      <c r="P5" s="58"/>
      <c r="Q5" s="60"/>
    </row>
    <row r="6" spans="1:17" ht="86.25" customHeight="1" x14ac:dyDescent="0.25">
      <c r="A6" s="58">
        <v>3</v>
      </c>
      <c r="B6" s="59" t="s">
        <v>82</v>
      </c>
      <c r="C6" s="59" t="s">
        <v>83</v>
      </c>
      <c r="D6" s="59" t="s">
        <v>84</v>
      </c>
      <c r="E6" s="59" t="s">
        <v>86</v>
      </c>
      <c r="F6" s="59" t="s">
        <v>107</v>
      </c>
      <c r="G6" s="59"/>
      <c r="H6" s="59"/>
      <c r="I6" s="59" t="s">
        <v>51</v>
      </c>
      <c r="J6" s="59" t="s">
        <v>51</v>
      </c>
      <c r="K6" s="58"/>
      <c r="L6" s="59"/>
      <c r="M6" s="58"/>
      <c r="N6" s="58"/>
      <c r="O6" s="59"/>
      <c r="P6" s="58"/>
      <c r="Q6" s="60"/>
    </row>
    <row r="7" spans="1:17" ht="90" x14ac:dyDescent="0.25">
      <c r="A7" s="120">
        <v>4</v>
      </c>
      <c r="B7" s="59" t="s">
        <v>85</v>
      </c>
      <c r="C7" s="59" t="s">
        <v>95</v>
      </c>
      <c r="D7" s="59" t="s">
        <v>93</v>
      </c>
      <c r="E7" s="59" t="s">
        <v>96</v>
      </c>
      <c r="F7" s="59" t="s">
        <v>88</v>
      </c>
      <c r="G7" s="59"/>
      <c r="H7" s="59" t="s">
        <v>88</v>
      </c>
      <c r="I7" s="59" t="s">
        <v>108</v>
      </c>
      <c r="J7" s="59" t="s">
        <v>51</v>
      </c>
      <c r="K7" s="58"/>
      <c r="L7" s="59"/>
      <c r="M7" s="58"/>
      <c r="N7" s="58"/>
      <c r="O7" s="59"/>
      <c r="P7" s="58"/>
      <c r="Q7" s="60"/>
    </row>
    <row r="8" spans="1:17" ht="165" x14ac:dyDescent="0.25">
      <c r="A8" s="120">
        <v>5</v>
      </c>
      <c r="B8" s="59" t="s">
        <v>89</v>
      </c>
      <c r="C8" s="59" t="s">
        <v>90</v>
      </c>
      <c r="D8" s="59" t="s">
        <v>94</v>
      </c>
      <c r="E8" s="59" t="s">
        <v>100</v>
      </c>
      <c r="F8" s="59" t="s">
        <v>88</v>
      </c>
      <c r="G8" s="59"/>
      <c r="H8" s="59"/>
      <c r="I8" s="59" t="s">
        <v>108</v>
      </c>
      <c r="J8" s="59" t="s">
        <v>51</v>
      </c>
      <c r="K8" s="58"/>
      <c r="L8" s="59"/>
      <c r="M8" s="58"/>
      <c r="N8" s="58"/>
      <c r="O8" s="59"/>
      <c r="P8" s="58"/>
      <c r="Q8" s="60"/>
    </row>
    <row r="9" spans="1:17" ht="137.25" customHeight="1" x14ac:dyDescent="0.25">
      <c r="A9" s="58">
        <v>6</v>
      </c>
      <c r="B9" s="59" t="s">
        <v>91</v>
      </c>
      <c r="C9" s="59" t="s">
        <v>98</v>
      </c>
      <c r="D9" s="59" t="s">
        <v>99</v>
      </c>
      <c r="E9" s="59" t="s">
        <v>101</v>
      </c>
      <c r="F9" s="59" t="s">
        <v>102</v>
      </c>
      <c r="G9" s="59"/>
      <c r="H9" s="59"/>
      <c r="I9" s="59" t="s">
        <v>51</v>
      </c>
      <c r="J9" s="59" t="s">
        <v>51</v>
      </c>
      <c r="K9" s="58"/>
      <c r="L9" s="59"/>
      <c r="M9" s="58"/>
      <c r="N9" s="58"/>
      <c r="O9" s="59"/>
      <c r="P9" s="58"/>
      <c r="Q9" s="60"/>
    </row>
    <row r="10" spans="1:17" ht="129" customHeight="1" x14ac:dyDescent="0.25">
      <c r="A10" s="120">
        <v>7</v>
      </c>
      <c r="B10" s="59" t="s">
        <v>97</v>
      </c>
      <c r="C10" s="59" t="s">
        <v>103</v>
      </c>
      <c r="D10" s="59" t="s">
        <v>104</v>
      </c>
      <c r="E10" s="59" t="s">
        <v>105</v>
      </c>
      <c r="F10" s="59" t="s">
        <v>106</v>
      </c>
      <c r="G10" s="59"/>
      <c r="H10" s="59"/>
      <c r="I10" s="59" t="s">
        <v>51</v>
      </c>
      <c r="J10" s="59" t="s">
        <v>51</v>
      </c>
      <c r="K10" s="58"/>
      <c r="L10" s="59"/>
      <c r="M10" s="58"/>
      <c r="N10" s="58"/>
      <c r="O10" s="59"/>
      <c r="P10" s="58"/>
      <c r="Q10" s="60"/>
    </row>
    <row r="109" spans="1:17" ht="39.75" customHeight="1" x14ac:dyDescent="0.25">
      <c r="A109" s="20"/>
      <c r="B109" s="20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20"/>
      <c r="N109" s="20"/>
      <c r="O109" s="20"/>
      <c r="P109" s="20"/>
      <c r="Q109" s="17"/>
    </row>
  </sheetData>
  <sheetProtection insertColumns="0" insertRows="0" deleteRows="0"/>
  <protectedRanges>
    <protectedRange sqref="A3:IY65494" name="Rango2"/>
  </protectedRanges>
  <mergeCells count="14">
    <mergeCell ref="B3:G3"/>
    <mergeCell ref="G1:G2"/>
    <mergeCell ref="H1:H2"/>
    <mergeCell ref="I1:I2"/>
    <mergeCell ref="J1:J2"/>
    <mergeCell ref="Q1:Q2"/>
    <mergeCell ref="K2:M2"/>
    <mergeCell ref="N2:P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  <pageSetup orientation="portrait" verticalDpi="200" r:id="rId1"/>
  <drawing r:id="rId2"/>
  <legacyDrawing r:id="rId3"/>
  <controls>
    <mc:AlternateContent xmlns:mc="http://schemas.openxmlformats.org/markup-compatibility/2006">
      <mc:Choice Requires="x14">
        <control shapeId="9217" r:id="rId4" name="btnCrearRonda">
          <controlPr autoLine="0" r:id="rId5">
            <anchor moveWithCells="1">
              <from>
                <xdr:col>17</xdr:col>
                <xdr:colOff>571500</xdr:colOff>
                <xdr:row>0</xdr:row>
                <xdr:rowOff>180975</xdr:rowOff>
              </from>
              <to>
                <xdr:col>17</xdr:col>
                <xdr:colOff>2162175</xdr:colOff>
                <xdr:row>1</xdr:row>
                <xdr:rowOff>9525</xdr:rowOff>
              </to>
            </anchor>
          </controlPr>
        </control>
      </mc:Choice>
      <mc:Fallback>
        <control shapeId="9217" r:id="rId4" name="btnCrearRond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ControlDeCambios</vt:lpstr>
      <vt:lpstr>Consolidado</vt:lpstr>
      <vt:lpstr>LISTAS</vt:lpstr>
      <vt:lpstr>DISEÑOS</vt:lpstr>
      <vt:lpstr>Escenarios</vt:lpstr>
      <vt:lpstr>xxxx</vt:lpstr>
      <vt:lpstr>Registro_Cliente_NOPCOMMERCE</vt:lpstr>
    </vt:vector>
  </TitlesOfParts>
  <Company>Personalsoft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dovillada</dc:creator>
  <cp:lastModifiedBy>S410p Touch</cp:lastModifiedBy>
  <dcterms:created xsi:type="dcterms:W3CDTF">2010-03-08T21:33:17Z</dcterms:created>
  <dcterms:modified xsi:type="dcterms:W3CDTF">2022-03-18T03:38:58Z</dcterms:modified>
</cp:coreProperties>
</file>